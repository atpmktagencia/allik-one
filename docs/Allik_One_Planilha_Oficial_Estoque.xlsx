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NOMENCLATURA_ATIVO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CONTAGEM_FISICA" sheetId="4" state="visible" r:id="rId4"/>
    <sheet xmlns:r="http://schemas.openxmlformats.org/officeDocument/2006/relationships" name="FORNECEDORES" sheetId="5" state="visible" r:id="rId5"/>
    <sheet xmlns:r="http://schemas.openxmlformats.org/officeDocument/2006/relationships" name="LISTAS" sheetId="6" state="hidden" r:id="rId6"/>
  </sheets>
  <definedNames>
    <definedName name="_xlnm._FilterDatabase" localSheetId="1" hidden="1">'NOMENCLATURA_ATIVOS'!$A$3:$I$36</definedName>
    <definedName name="_xlnm._FilterDatabase" localSheetId="2" hidden="1">'PRODUTOS'!$A$3:$J$500</definedName>
    <definedName name="_xlnm._FilterDatabase" localSheetId="3" hidden="1">'CONTAGEM_FISICA'!$A$3:$T$500</definedName>
    <definedName name="_xlnm._FilterDatabase" localSheetId="4" hidden="1">'FORNECEDORES'!$A$3:$G$500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R$ #,##0.00"/>
    <numFmt numFmtId="166" formatCode="yyyy-mm-dd"/>
    <numFmt numFmtId="167" formatCode="dd/mm/yyyy"/>
    <numFmt numFmtId="168" formatCode="R$ #,##0.00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  <sz val="10"/>
    </font>
    <font>
      <b val="1"/>
      <color rgb="0017203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6" borderId="2" pivotButton="0" quotePrefix="0" xfId="0"/>
    <xf numFmtId="0" fontId="0" fillId="0" borderId="2" pivotButton="0" quotePrefix="0" xfId="0"/>
    <xf numFmtId="167" fontId="0" fillId="6" borderId="2" pivotButton="0" quotePrefix="0" xfId="0"/>
    <xf numFmtId="164" fontId="0" fillId="0" borderId="2" pivotButton="0" quotePrefix="0" xfId="0"/>
    <xf numFmtId="164" fontId="0" fillId="6" borderId="2" pivotButton="0" quotePrefix="0" xfId="0"/>
    <xf numFmtId="168" fontId="0" fillId="6" borderId="2" pivotButton="0" quotePrefix="0" xfId="0"/>
    <xf numFmtId="0" fontId="4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NomenclaturaAtivos" displayName="NomenclaturaAtivos" ref="A3:I36" headerRowCount="1">
  <autoFilter ref="A3:I36"/>
  <tableColumns count="9">
    <tableColumn id="1" name="SKU cadastrado"/>
    <tableColumn id="2" name="Nome anterior"/>
    <tableColumn id="3" name="Nome operacional padronizado"/>
    <tableColumn id="4" name="Código no catálogo fornecedor"/>
    <tableColumn id="5" name="Composição/concentração"/>
    <tableColumn id="6" name="Via"/>
    <tableColumn id="7" name="Fornecedor informado"/>
    <tableColumn id="8" name="Situação"/>
    <tableColumn id="9" name="Ação necessá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tosOficiais" displayName="ProdutosOficiais" ref="A3:J36" headerRowCount="1">
  <autoFilter ref="A3:J36"/>
  <tableColumns count="10">
    <tableColumn id="1" name="SKU*"/>
    <tableColumn id="2" name="Produto*"/>
    <tableColumn id="3" name="Categoria*"/>
    <tableColumn id="4" name="Unidade de medida*"/>
    <tableColumn id="5" name="Estoque mínimo"/>
    <tableColumn id="6" name="Preço de venda referência"/>
    <tableColumn id="7" name="Rota"/>
    <tableColumn id="8" name="Ativo?*"/>
    <tableColumn id="9" name="Controla estoque?*"/>
    <tableColumn id="10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tagemOficial" displayName="ContagemOficial" ref="A3:T36" headerRowCount="1">
  <autoFilter ref="A3:T36"/>
  <tableColumns count="20">
    <tableColumn id="1" name="IMPORTAR?*"/>
    <tableColumn id="2" name="Unidade*"/>
    <tableColumn id="3" name="Local de estoque*"/>
    <tableColumn id="4" name="SKU*"/>
    <tableColumn id="5" name="Produto (automático)"/>
    <tableColumn id="6" name="Lote*"/>
    <tableColumn id="7" name="Validade*"/>
    <tableColumn id="8" name="Status do lote*"/>
    <tableColumn id="9" name="Quantidade anterior"/>
    <tableColumn id="10" name="Quantidade física*"/>
    <tableColumn id="11" name="Diferença"/>
    <tableColumn id="12" name="Unidade de medida (automático)"/>
    <tableColumn id="13" name="Custo unitário*"/>
    <tableColumn id="14" name="Fornecedor*"/>
    <tableColumn id="15" name="Documento/NF"/>
    <tableColumn id="16" name="Data da contagem*"/>
    <tableColumn id="17" name="Contado por*"/>
    <tableColumn id="18" name="Segunda conferência por"/>
    <tableColumn id="19" name="Motivo/observações"/>
    <tableColumn id="20" name="VALÍD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rnecedoresOficiais" displayName="FornecedoresOficiais" ref="A3:G8" headerRowCount="1">
  <autoFilter ref="A3:G8"/>
  <tableColumns count="7">
    <tableColumn id="1" name="Fornecedor*"/>
    <tableColumn id="2" name="CNPJ"/>
    <tableColumn id="3" name="Telefone"/>
    <tableColumn id="4" name="E-mail"/>
    <tableColumn id="5" name="Contato"/>
    <tableColumn id="6" name="Ativo?*"/>
    <tableColumn id="7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ALLIK ONE — PLANILHA OFICIAL DE ESTOQUE</t>
        </is>
      </c>
    </row>
    <row r="2" ht="32" customHeight="1">
      <c r="A2" s="2" t="inlineStr">
        <is>
          <t>Versão 1.0 · Modelo para conferência física, saneamento cadastral e importação auditável</t>
        </is>
      </c>
    </row>
    <row r="4" ht="38" customHeight="1">
      <c r="A4" s="3" t="inlineStr">
        <is>
          <t>OBJETIVO</t>
        </is>
      </c>
      <c r="B4" s="4" t="inlineStr">
        <is>
          <t>Registrar o estoque real por unidade, local, produto e lote antes da atualização do Allik One.</t>
        </is>
      </c>
    </row>
    <row r="5" ht="38" customHeight="1">
      <c r="A5" s="3" t="inlineStr">
        <is>
          <t>1. PRODUTOS</t>
        </is>
      </c>
      <c r="B5" s="4" t="inlineStr">
        <is>
          <t>Revise SKU, nome, categoria, unidade de medida e estoque mínimo. Não reutilize um SKU para produtos diferentes.</t>
        </is>
      </c>
    </row>
    <row r="6" ht="38" customHeight="1">
      <c r="A6" s="3" t="inlineStr">
        <is>
          <t>2. CONTAGEM_FISICA</t>
        </is>
      </c>
      <c r="B6" s="4" t="inlineStr">
        <is>
          <t>Use uma linha para cada combinação de unidade + local + SKU + lote. Se houver dois lotes do mesmo produto, use duas linhas.</t>
        </is>
      </c>
    </row>
    <row r="7" ht="38" customHeight="1">
      <c r="A7" s="3" t="inlineStr">
        <is>
          <t>3. CAMPOS OBRIGATÓRIOS</t>
        </is>
      </c>
      <c r="B7" s="4" t="inlineStr">
        <is>
          <t>Unidade, local, SKU, lote, validade, status, quantidade física, custo unitário, fornecedor, data e responsável.</t>
        </is>
      </c>
    </row>
    <row r="8" ht="38" customHeight="1">
      <c r="A8" s="3" t="inlineStr">
        <is>
          <t>4. LOTE DESCONHECIDO</t>
        </is>
      </c>
      <c r="B8" s="4" t="inlineStr">
        <is>
          <t>Não invente o lote. Separe o item e informe SEM LOTE na observação; a liberação excepcional será decidida antes da importação.</t>
        </is>
      </c>
    </row>
    <row r="9" ht="38" customHeight="1">
      <c r="A9" s="3" t="inlineStr">
        <is>
          <t>5. VALIDADE</t>
        </is>
      </c>
      <c r="B9" s="4" t="inlineStr">
        <is>
          <t>Use uma data real. Não estimar validade. Produto vencido deve permanecer registrado e receber status BLOQUEADO.</t>
        </is>
      </c>
    </row>
    <row r="10" ht="38" customHeight="1">
      <c r="A10" s="3" t="inlineStr">
        <is>
          <t>6. CUSTO</t>
        </is>
      </c>
      <c r="B10" s="4" t="inlineStr">
        <is>
          <t>Informe o custo de aquisição por unidade de medida do cadastro, não o preço de venda. Use vírgula ou ponto conforme o Excel.</t>
        </is>
      </c>
    </row>
    <row r="11" ht="38" customHeight="1">
      <c r="A11" s="3" t="inlineStr">
        <is>
          <t>7. QUANTIDADE</t>
        </is>
      </c>
      <c r="B11" s="4" t="inlineStr">
        <is>
          <t>Conte na mesma unidade indicada em PRODUTOS. Não misture caixa, frasco, ampola e kit na mesma linha.</t>
        </is>
      </c>
    </row>
    <row r="12" ht="38" customHeight="1">
      <c r="A12" s="3" t="inlineStr">
        <is>
          <t>8. CONFERÊNCIA</t>
        </is>
      </c>
      <c r="B12" s="4" t="inlineStr">
        <is>
          <t>Depois do primeiro preenchimento, uma segunda pessoa deve revisar e preencher Segunda conferência por.</t>
        </is>
      </c>
    </row>
    <row r="13" ht="38" customHeight="1">
      <c r="A13" s="3" t="inlineStr">
        <is>
          <t>9. IMPORTAÇÃO</t>
        </is>
      </c>
      <c r="B13" s="4" t="inlineStr">
        <is>
          <t>Somente linhas com IMPORTAR = SIM e VALIDAÇÃO = OK serão consideradas. O sistema criará movimentos auditáveis; não haverá alteração direta de saldo.</t>
        </is>
      </c>
    </row>
    <row r="14" ht="38" customHeight="1">
      <c r="A14" s="3" t="inlineStr">
        <is>
          <t>10. SEGURANÇA</t>
        </is>
      </c>
      <c r="B14" s="4" t="inlineStr">
        <is>
          <t>Não inclua dados de pacientes, senhas, tokens ou credenciais nesta planilha.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62" customWidth="1" min="3" max="3"/>
    <col width="28" customWidth="1" min="4" max="4"/>
    <col width="90" customWidth="1" min="5" max="5"/>
    <col width="16" customWidth="1" min="6" max="6"/>
    <col width="26" customWidth="1" min="7" max="7"/>
    <col width="34" customWidth="1" min="8" max="8"/>
    <col width="54" customWidth="1" min="9" max="9"/>
  </cols>
  <sheetData>
    <row r="1" ht="30" customHeight="1">
      <c r="A1" s="1" t="inlineStr">
        <is>
          <t>NOMENCLATURA OFICIAL DOS ATIVOS</t>
        </is>
      </c>
    </row>
    <row r="2" ht="32" customHeight="1">
      <c r="A2" s="2" t="inlineStr">
        <is>
          <t>O nome padronizado descreve composição/concentração/apresentação e via. Não representa prescrição individual nem frequência de administração.</t>
        </is>
      </c>
    </row>
    <row r="3" ht="34" customHeight="1">
      <c r="A3" s="5" t="inlineStr">
        <is>
          <t>SKU cadastrado</t>
        </is>
      </c>
      <c r="B3" s="5" t="inlineStr">
        <is>
          <t>Nome anterior</t>
        </is>
      </c>
      <c r="C3" s="5" t="inlineStr">
        <is>
          <t>Nome operacional padronizado</t>
        </is>
      </c>
      <c r="D3" s="5" t="inlineStr">
        <is>
          <t>Código no catálogo fornecedor</t>
        </is>
      </c>
      <c r="E3" s="5" t="inlineStr">
        <is>
          <t>Composição/concentração</t>
        </is>
      </c>
      <c r="F3" s="5" t="inlineStr">
        <is>
          <t>Via</t>
        </is>
      </c>
      <c r="G3" s="5" t="inlineStr">
        <is>
          <t>Fornecedor informado</t>
        </is>
      </c>
      <c r="H3" s="5" t="inlineStr">
        <is>
          <t>Situação</t>
        </is>
      </c>
      <c r="I3" s="5" t="inlineStr">
        <is>
          <t>Ação necessária</t>
        </is>
      </c>
    </row>
    <row r="4" ht="58" customHeight="1">
      <c r="A4" s="6" t="inlineStr">
        <is>
          <t>JDO-001-IM-ADEK</t>
        </is>
      </c>
      <c r="B4" s="6" t="inlineStr">
        <is>
          <t>ADEK</t>
        </is>
      </c>
      <c r="C4" s="6" t="inlineStr">
        <is>
          <t>ADEK 600.000 UI/1 mL IM</t>
        </is>
      </c>
      <c r="D4" s="6" t="inlineStr">
        <is>
          <t>STIN-P007</t>
        </is>
      </c>
      <c r="E4" s="6" t="inlineStr">
        <is>
          <t>Vit. D3 600.000 UI + Vit. K2-MK7 1.300 mcg + Vit. A 50.000 UI + Vit. E 500 UI</t>
        </is>
      </c>
      <c r="F4" s="6" t="inlineStr">
        <is>
          <t>IM</t>
        </is>
      </c>
      <c r="G4" s="6" t="inlineStr">
        <is>
          <t>Stin Pharma</t>
        </is>
      </c>
      <c r="H4" s="7" t="inlineStr">
        <is>
          <t>CONFIRMADO</t>
        </is>
      </c>
      <c r="I4" s="6" t="inlineStr">
        <is>
          <t>Nenhuma</t>
        </is>
      </c>
    </row>
    <row r="5" ht="58" customHeight="1">
      <c r="A5" s="6" t="inlineStr">
        <is>
          <t>JDO-002-IM-ANTI-INFLAMATORIO-E-ANTIOXID</t>
        </is>
      </c>
      <c r="B5" s="6" t="inlineStr">
        <is>
          <t>ANTI INFLAMATORIO E ANTIOXIDANTE</t>
        </is>
      </c>
      <c r="C5" s="6" t="inlineStr">
        <is>
          <t>Anti-inflamatório e Antioxidante — Protocolo EV 1.5</t>
        </is>
      </c>
      <c r="D5" s="6" t="inlineStr">
        <is>
          <t>ESS-EV1-5-P</t>
        </is>
      </c>
      <c r="E5" s="6" t="inlineStr">
        <is>
          <t>MSM 750 mg/5 mL + NAC 300 mg/2 mL + L-Carnitina 600 mg/2 mL + Complexo B sem B1 + SAME 200 mg/2 mL + Aminoácidos</t>
        </is>
      </c>
      <c r="F5" s="6" t="inlineStr">
        <is>
          <t>EV</t>
        </is>
      </c>
      <c r="G5" s="6" t="inlineStr">
        <is>
          <t>Essentia Pharma</t>
        </is>
      </c>
      <c r="H5" s="8" t="inlineStr">
        <is>
          <t>DIVERGÊNCIA DE VIA: SKU DIZ IM</t>
        </is>
      </c>
      <c r="I5" s="6" t="inlineStr">
        <is>
          <t>Conferir foto do rótulo/embalagem antes de renomear ou importar</t>
        </is>
      </c>
    </row>
    <row r="6" ht="58" customHeight="1">
      <c r="A6" s="6" t="inlineStr">
        <is>
          <t>JDO-003-IM-BOOSTER-ATP</t>
        </is>
      </c>
      <c r="B6" s="6" t="inlineStr">
        <is>
          <t>BOOSTER ATP</t>
        </is>
      </c>
      <c r="C6" s="6" t="inlineStr">
        <is>
          <t>Booster Energético — ATP 20 mg + L-Carnitina 600 mg + PQQ 5 mg/2 mL EV/IM</t>
        </is>
      </c>
      <c r="D6" s="6" t="inlineStr">
        <is>
          <t>STIN-P014</t>
        </is>
      </c>
      <c r="E6" s="6" t="inlineStr">
        <is>
          <t>ATP 20 mg + L-Carnitina 600 mg + PQQ 5 mg em 2 mL</t>
        </is>
      </c>
      <c r="F6" s="6" t="inlineStr">
        <is>
          <t>EV/IM</t>
        </is>
      </c>
      <c r="G6" s="6" t="inlineStr">
        <is>
          <t>Stin Pharma</t>
        </is>
      </c>
      <c r="H6" s="7" t="inlineStr">
        <is>
          <t>CONFIRMADO</t>
        </is>
      </c>
      <c r="I6" s="6" t="inlineStr">
        <is>
          <t>Nenhuma</t>
        </is>
      </c>
    </row>
    <row r="7" ht="58" customHeight="1">
      <c r="A7" s="6" t="inlineStr">
        <is>
          <t>JDO-004-IM-BOOSTER-MOROSIL</t>
        </is>
      </c>
      <c r="B7" s="6" t="inlineStr">
        <is>
          <t>BOOSTER MOROSIL</t>
        </is>
      </c>
      <c r="C7" s="6" t="inlineStr">
        <is>
          <t>Booster Morosil — concentração a confirmar — IM</t>
        </is>
      </c>
      <c r="D7" s="6" t="inlineStr"/>
      <c r="E7" s="6" t="inlineStr">
        <is>
          <t>Composição e apresentação não localizadas nos catálogos cadastrados</t>
        </is>
      </c>
      <c r="F7" s="6" t="inlineStr">
        <is>
          <t>IM</t>
        </is>
      </c>
      <c r="G7" s="6" t="inlineStr">
        <is>
          <t>Central Pharma</t>
        </is>
      </c>
      <c r="H7" s="8" t="inlineStr">
        <is>
          <t>CONFIRMAR RÓTULO</t>
        </is>
      </c>
      <c r="I7" s="6" t="inlineStr">
        <is>
          <t>Conferir foto do rótulo/embalagem antes de renomear ou importar</t>
        </is>
      </c>
    </row>
    <row r="8" ht="58" customHeight="1">
      <c r="A8" s="6" t="inlineStr">
        <is>
          <t>JDO-005-IM-COENZIMA-Q10</t>
        </is>
      </c>
      <c r="B8" s="6" t="inlineStr">
        <is>
          <t>COENZIMA Q10</t>
        </is>
      </c>
      <c r="C8" s="6" t="inlineStr">
        <is>
          <t>Coenzima Q10 100 mg/2 mL IM</t>
        </is>
      </c>
      <c r="D8" s="6" t="inlineStr">
        <is>
          <t>STIN-P023</t>
        </is>
      </c>
      <c r="E8" s="6" t="inlineStr">
        <is>
          <t>Coenzima Q10 50 mg/mL; total 100 mg em 2 mL</t>
        </is>
      </c>
      <c r="F8" s="6" t="inlineStr">
        <is>
          <t>IM</t>
        </is>
      </c>
      <c r="G8" s="6" t="inlineStr">
        <is>
          <t>Stin Pharma/Central</t>
        </is>
      </c>
      <c r="H8" s="7" t="inlineStr">
        <is>
          <t>CONFIRMADO</t>
        </is>
      </c>
      <c r="I8" s="6" t="inlineStr">
        <is>
          <t>Nenhuma</t>
        </is>
      </c>
    </row>
    <row r="9" ht="58" customHeight="1">
      <c r="A9" s="6" t="inlineStr">
        <is>
          <t>JDO-006-IM-CURCUMINA</t>
        </is>
      </c>
      <c r="B9" s="6" t="inlineStr">
        <is>
          <t>CURCUMINA</t>
        </is>
      </c>
      <c r="C9" s="6" t="inlineStr">
        <is>
          <t>Curcumina 200 mg/2 mL IM</t>
        </is>
      </c>
      <c r="D9" s="6" t="inlineStr">
        <is>
          <t>STIN-P032</t>
        </is>
      </c>
      <c r="E9" s="6" t="inlineStr">
        <is>
          <t>Curcumina 100 mg/mL; total 200 mg em 2 mL</t>
        </is>
      </c>
      <c r="F9" s="6" t="inlineStr">
        <is>
          <t>IM</t>
        </is>
      </c>
      <c r="G9" s="6" t="inlineStr">
        <is>
          <t>Stin Pharma</t>
        </is>
      </c>
      <c r="H9" s="7" t="inlineStr">
        <is>
          <t>CONFIRMADO</t>
        </is>
      </c>
      <c r="I9" s="6" t="inlineStr">
        <is>
          <t>Nenhuma</t>
        </is>
      </c>
    </row>
    <row r="10" ht="58" customHeight="1">
      <c r="A10" s="6" t="inlineStr">
        <is>
          <t>JDO-007-IM-INSULIN-SUPPORT</t>
        </is>
      </c>
      <c r="B10" s="6" t="inlineStr">
        <is>
          <t>INSULIN SUPPORT</t>
        </is>
      </c>
      <c r="C10" s="6" t="inlineStr">
        <is>
          <t>Insulin Support 5 mL IM</t>
        </is>
      </c>
      <c r="D10" s="6" t="inlineStr">
        <is>
          <t>STIN-P047</t>
        </is>
      </c>
      <c r="E10" s="6" t="inlineStr">
        <is>
          <t>Cromo Picolinato 100 mcg/mL + Inositol 100 mg/mL + Ácido Alfa-lipoico 10 mg/mL</t>
        </is>
      </c>
      <c r="F10" s="6" t="inlineStr">
        <is>
          <t>IM</t>
        </is>
      </c>
      <c r="G10" s="6" t="inlineStr">
        <is>
          <t>Stin Pharma</t>
        </is>
      </c>
      <c r="H10" s="8" t="inlineStr">
        <is>
          <t>CONFIRMAR VOLUME COM FORNECEDOR</t>
        </is>
      </c>
      <c r="I10" s="6" t="inlineStr">
        <is>
          <t>Conferir foto do rótulo/embalagem antes de renomear ou importar</t>
        </is>
      </c>
    </row>
    <row r="11" ht="58" customHeight="1">
      <c r="A11" s="6" t="inlineStr">
        <is>
          <t>JDO-008-IM-L-GLUTATION</t>
        </is>
      </c>
      <c r="B11" s="6" t="inlineStr">
        <is>
          <t>L GLUTATION</t>
        </is>
      </c>
      <c r="C11" s="6" t="inlineStr">
        <is>
          <t>L-Glutationa 600 mg/5 mL EV/IM</t>
        </is>
      </c>
      <c r="D11" s="6" t="inlineStr">
        <is>
          <t>STIN-P055</t>
        </is>
      </c>
      <c r="E11" s="6" t="inlineStr">
        <is>
          <t>L-Glutationa 600 mg em 5 mL</t>
        </is>
      </c>
      <c r="F11" s="6" t="inlineStr">
        <is>
          <t>EV/IM</t>
        </is>
      </c>
      <c r="G11" s="6" t="inlineStr">
        <is>
          <t>Stin Pharma</t>
        </is>
      </c>
      <c r="H11" s="7" t="inlineStr">
        <is>
          <t>CONFIRMADO</t>
        </is>
      </c>
      <c r="I11" s="6" t="inlineStr">
        <is>
          <t>Nenhuma</t>
        </is>
      </c>
    </row>
    <row r="12" ht="58" customHeight="1">
      <c r="A12" s="6" t="inlineStr">
        <is>
          <t>JDO-009-IM-NADH</t>
        </is>
      </c>
      <c r="B12" s="6" t="inlineStr">
        <is>
          <t>NADH</t>
        </is>
      </c>
      <c r="C12" s="6" t="inlineStr">
        <is>
          <t>NADH 50 mg — pó estéril para reconstituição — IM</t>
        </is>
      </c>
      <c r="D12" s="6" t="inlineStr">
        <is>
          <t>STIN-P075</t>
        </is>
      </c>
      <c r="E12" s="6" t="inlineStr">
        <is>
          <t>NADH 50 mg por frasco; volume de reconstituição não informado</t>
        </is>
      </c>
      <c r="F12" s="6" t="inlineStr">
        <is>
          <t>IM</t>
        </is>
      </c>
      <c r="G12" s="6" t="inlineStr">
        <is>
          <t>Stin Pharma</t>
        </is>
      </c>
      <c r="H12" s="8" t="inlineStr">
        <is>
          <t>CONFIRMAR RECONSTITUIÇÃO</t>
        </is>
      </c>
      <c r="I12" s="6" t="inlineStr">
        <is>
          <t>Conferir foto do rótulo/embalagem antes de renomear ou importar</t>
        </is>
      </c>
    </row>
    <row r="13" ht="58" customHeight="1">
      <c r="A13" s="6" t="inlineStr">
        <is>
          <t>JDO-010-IM-NANDROLONA-DECANOATO</t>
        </is>
      </c>
      <c r="B13" s="6" t="inlineStr">
        <is>
          <t>NANDROLONA DECANOATO</t>
        </is>
      </c>
      <c r="C13" s="6" t="inlineStr">
        <is>
          <t>Nandrolona Decanoato — concentração a confirmar — IM</t>
        </is>
      </c>
      <c r="D13" s="6" t="inlineStr"/>
      <c r="E13" s="6" t="inlineStr">
        <is>
          <t>Há apresentações diferentes; o produto não foi localizado no catálogo Stin cadastrado</t>
        </is>
      </c>
      <c r="F13" s="6" t="inlineStr">
        <is>
          <t>IM</t>
        </is>
      </c>
      <c r="G13" s="6" t="inlineStr">
        <is>
          <t>Stin Pharma</t>
        </is>
      </c>
      <c r="H13" s="8" t="inlineStr">
        <is>
          <t>CONFIRMAR RÓTULO</t>
        </is>
      </c>
      <c r="I13" s="6" t="inlineStr">
        <is>
          <t>Conferir foto do rótulo/embalagem antes de renomear ou importar</t>
        </is>
      </c>
    </row>
    <row r="14" ht="58" customHeight="1">
      <c r="A14" s="6" t="inlineStr">
        <is>
          <t>JDO-011-EVIM-POOL-COGNITIVO-NEURO-HEALTH</t>
        </is>
      </c>
      <c r="B14" s="6" t="inlineStr">
        <is>
          <t>POOL COGNITIVO (NEURO HEALTH)</t>
        </is>
      </c>
      <c r="C14" s="6" t="inlineStr">
        <is>
          <t>Pool Cognitivo — composição a confirmar — EV/IM</t>
        </is>
      </c>
      <c r="D14" s="6" t="inlineStr"/>
      <c r="E14" s="6" t="inlineStr">
        <is>
          <t>Fornecedor informado como Central Pharma; confirmar composição e volume no rótulo</t>
        </is>
      </c>
      <c r="F14" s="6" t="inlineStr">
        <is>
          <t>EV/IM</t>
        </is>
      </c>
      <c r="G14" s="6" t="inlineStr">
        <is>
          <t>Central Pharma</t>
        </is>
      </c>
      <c r="H14" s="8" t="inlineStr">
        <is>
          <t>CONFIRMAR RÓTULO</t>
        </is>
      </c>
      <c r="I14" s="6" t="inlineStr">
        <is>
          <t>Conferir foto do rótulo/embalagem antes de renomear ou importar</t>
        </is>
      </c>
    </row>
    <row r="15" ht="58" customHeight="1">
      <c r="A15" s="6" t="inlineStr">
        <is>
          <t>JDO-012-IM-RESVERATROL</t>
        </is>
      </c>
      <c r="B15" s="6" t="inlineStr">
        <is>
          <t>RESVERATROL</t>
        </is>
      </c>
      <c r="C15" s="6" t="inlineStr">
        <is>
          <t>Resveratrol 10 mg/1 mL IM/SC</t>
        </is>
      </c>
      <c r="D15" s="6" t="inlineStr">
        <is>
          <t>STIN-P089</t>
        </is>
      </c>
      <c r="E15" s="6" t="inlineStr">
        <is>
          <t>Resveratrol 10 mg em 1 mL</t>
        </is>
      </c>
      <c r="F15" s="6" t="inlineStr">
        <is>
          <t>IM/SC</t>
        </is>
      </c>
      <c r="G15" s="6" t="inlineStr">
        <is>
          <t>Stin Pharma</t>
        </is>
      </c>
      <c r="H15" s="7" t="inlineStr">
        <is>
          <t>CONFIRMADO</t>
        </is>
      </c>
      <c r="I15" s="6" t="inlineStr">
        <is>
          <t>Nenhuma</t>
        </is>
      </c>
    </row>
    <row r="16" ht="58" customHeight="1">
      <c r="A16" s="6" t="inlineStr">
        <is>
          <t>JDO-013-IM-RESVERATROL-MICELAR</t>
        </is>
      </c>
      <c r="B16" s="6" t="inlineStr">
        <is>
          <t>RESVERATROL MICELAR</t>
        </is>
      </c>
      <c r="C16" s="6" t="inlineStr">
        <is>
          <t>Nanomicelas de Resveratrol 10 mg/1 mL EV/IM</t>
        </is>
      </c>
      <c r="D16" s="6" t="inlineStr">
        <is>
          <t>ESS-P111</t>
        </is>
      </c>
      <c r="E16" s="6" t="inlineStr">
        <is>
          <t>Nanomicelas de Resveratrol 1%; 10 mg em 1 mL</t>
        </is>
      </c>
      <c r="F16" s="6" t="inlineStr">
        <is>
          <t>EV/IM</t>
        </is>
      </c>
      <c r="G16" s="6" t="inlineStr">
        <is>
          <t>Essentia Pharma</t>
        </is>
      </c>
      <c r="H16" s="7" t="inlineStr">
        <is>
          <t>CONFIRMADO</t>
        </is>
      </c>
      <c r="I16" s="6" t="inlineStr">
        <is>
          <t>Nenhuma</t>
        </is>
      </c>
    </row>
    <row r="17" ht="58" customHeight="1">
      <c r="A17" s="6" t="inlineStr">
        <is>
          <t>JDO-014-IM-TESTOSTERONA-CIPIONATO</t>
        </is>
      </c>
      <c r="B17" s="6" t="inlineStr">
        <is>
          <t>TESTOSTERONA CIPIONATO</t>
        </is>
      </c>
      <c r="C17" s="6" t="inlineStr">
        <is>
          <t>Testosterona Cipionato — concentração a confirmar — IM</t>
        </is>
      </c>
      <c r="D17" s="6" t="inlineStr"/>
      <c r="E17" s="6" t="inlineStr">
        <is>
          <t>Concentração e apresentação não confirmadas pelo fornecedor informado</t>
        </is>
      </c>
      <c r="F17" s="6" t="inlineStr">
        <is>
          <t>IM</t>
        </is>
      </c>
      <c r="G17" s="6" t="inlineStr">
        <is>
          <t>Stin Pharma</t>
        </is>
      </c>
      <c r="H17" s="8" t="inlineStr">
        <is>
          <t>CONFIRMAR RÓTULO</t>
        </is>
      </c>
      <c r="I17" s="6" t="inlineStr">
        <is>
          <t>Conferir foto do rótulo/embalagem antes de renomear ou importar</t>
        </is>
      </c>
    </row>
    <row r="18" ht="58" customHeight="1">
      <c r="A18" s="6" t="inlineStr">
        <is>
          <t>JDO-015-IM-TESTOSTERONA-DURATESTON</t>
        </is>
      </c>
      <c r="B18" s="6" t="inlineStr">
        <is>
          <t>TESTOSTERONA DURATESTON</t>
        </is>
      </c>
      <c r="C18" s="6" t="inlineStr">
        <is>
          <t>Testosterona Durateston — composição/concentração a confirmar — IM</t>
        </is>
      </c>
      <c r="D18" s="6" t="inlineStr"/>
      <c r="E18" s="6" t="inlineStr">
        <is>
          <t>Apresentação não localizada no catálogo Stin cadastrado</t>
        </is>
      </c>
      <c r="F18" s="6" t="inlineStr">
        <is>
          <t>IM</t>
        </is>
      </c>
      <c r="G18" s="6" t="inlineStr">
        <is>
          <t>Stin Pharma</t>
        </is>
      </c>
      <c r="H18" s="8" t="inlineStr">
        <is>
          <t>CONFIRMAR RÓTULO</t>
        </is>
      </c>
      <c r="I18" s="6" t="inlineStr">
        <is>
          <t>Conferir foto do rótulo/embalagem antes de renomear ou importar</t>
        </is>
      </c>
    </row>
    <row r="19" ht="58" customHeight="1">
      <c r="A19" s="6" t="inlineStr">
        <is>
          <t>JDO-016-IM-TRIO-METILADOR</t>
        </is>
      </c>
      <c r="B19" s="6" t="inlineStr">
        <is>
          <t>TRIO METILADOR</t>
        </is>
      </c>
      <c r="C19" s="6" t="inlineStr">
        <is>
          <t>Trio Metilador 2 mL EV/IM</t>
        </is>
      </c>
      <c r="D19" s="6" t="inlineStr">
        <is>
          <t>STIN-P096</t>
        </is>
      </c>
      <c r="E19" s="6" t="inlineStr">
        <is>
          <t>Vit. B6 30 mg + Metilfolato 3.500 mcg + Vit. B12 2.500 mcg</t>
        </is>
      </c>
      <c r="F19" s="6" t="inlineStr">
        <is>
          <t>EV/IM</t>
        </is>
      </c>
      <c r="G19" s="6" t="inlineStr">
        <is>
          <t>Stin Pharma/Central</t>
        </is>
      </c>
      <c r="H19" s="7" t="inlineStr">
        <is>
          <t>CONFIRMADO</t>
        </is>
      </c>
      <c r="I19" s="6" t="inlineStr">
        <is>
          <t>Nenhuma</t>
        </is>
      </c>
    </row>
    <row r="20" ht="58" customHeight="1">
      <c r="A20" s="6" t="inlineStr">
        <is>
          <t>JDO-017-IM-TRIO-DETOX</t>
        </is>
      </c>
      <c r="B20" s="6" t="inlineStr">
        <is>
          <t>TRIO DETOX</t>
        </is>
      </c>
      <c r="C20" s="6" t="inlineStr">
        <is>
          <t>Trio Detox — composição/concentração a confirmar — IM</t>
        </is>
      </c>
      <c r="D20" s="6" t="inlineStr"/>
      <c r="E20" s="6" t="inlineStr">
        <is>
          <t>Composição não localizada nos catálogos cadastrados</t>
        </is>
      </c>
      <c r="F20" s="6" t="inlineStr">
        <is>
          <t>IM</t>
        </is>
      </c>
      <c r="G20" s="6" t="inlineStr">
        <is>
          <t>Central Pharma</t>
        </is>
      </c>
      <c r="H20" s="8" t="inlineStr">
        <is>
          <t>CONFIRMAR RÓTULO</t>
        </is>
      </c>
      <c r="I20" s="6" t="inlineStr">
        <is>
          <t>Conferir foto do rótulo/embalagem antes de renomear ou importar</t>
        </is>
      </c>
    </row>
    <row r="21" ht="58" customHeight="1">
      <c r="A21" s="6" t="inlineStr">
        <is>
          <t>JDO-018-IM-VITAMINA-B12</t>
        </is>
      </c>
      <c r="B21" s="6" t="inlineStr">
        <is>
          <t>VITAMINA B12</t>
        </is>
      </c>
      <c r="C21" s="6" t="inlineStr">
        <is>
          <t>Vitamina B12 — forma e concentração a confirmar — IM</t>
        </is>
      </c>
      <c r="D21" s="6" t="inlineStr"/>
      <c r="E21" s="6" t="inlineStr">
        <is>
          <t>Catálogo possui cianocobalamina e metilcobalamina em várias concentrações</t>
        </is>
      </c>
      <c r="F21" s="6" t="inlineStr">
        <is>
          <t>IM</t>
        </is>
      </c>
      <c r="G21" s="6" t="inlineStr">
        <is>
          <t>Stin Pharma</t>
        </is>
      </c>
      <c r="H21" s="8" t="inlineStr">
        <is>
          <t>CONFIRMAR RÓTULO</t>
        </is>
      </c>
      <c r="I21" s="6" t="inlineStr">
        <is>
          <t>Conferir foto do rótulo/embalagem antes de renomear ou importar</t>
        </is>
      </c>
    </row>
    <row r="22" ht="58" customHeight="1">
      <c r="A22" s="6" t="inlineStr">
        <is>
          <t>JDO-019-IM-VITAMINA-D3</t>
        </is>
      </c>
      <c r="B22" s="6" t="inlineStr">
        <is>
          <t>VITAMINA D3</t>
        </is>
      </c>
      <c r="C22" s="6" t="inlineStr">
        <is>
          <t>Vitamina D3 600.000 UI/1 mL IM</t>
        </is>
      </c>
      <c r="D22" s="6" t="inlineStr">
        <is>
          <t>STIN-P114</t>
        </is>
      </c>
      <c r="E22" s="6" t="inlineStr">
        <is>
          <t>Vitamina D3 600.000 UI/mL; ampola de 1 mL</t>
        </is>
      </c>
      <c r="F22" s="6" t="inlineStr">
        <is>
          <t>IM</t>
        </is>
      </c>
      <c r="G22" s="6" t="inlineStr">
        <is>
          <t>Stin Pharma</t>
        </is>
      </c>
      <c r="H22" s="7" t="inlineStr">
        <is>
          <t>CONFIRMADO</t>
        </is>
      </c>
      <c r="I22" s="6" t="inlineStr">
        <is>
          <t>Nenhuma</t>
        </is>
      </c>
    </row>
    <row r="23" ht="58" customHeight="1">
      <c r="A23" s="6" t="inlineStr">
        <is>
          <t>JDO-020-EV-ALFA-LIPOICO-300</t>
        </is>
      </c>
      <c r="B23" s="6" t="inlineStr">
        <is>
          <t>ALFA LIPOICO 300</t>
        </is>
      </c>
      <c r="C23" s="6" t="inlineStr">
        <is>
          <t>Ácido Alfa-lipoico 300 mg/5 mL EV</t>
        </is>
      </c>
      <c r="D23" s="6" t="inlineStr">
        <is>
          <t>STIN-P004</t>
        </is>
      </c>
      <c r="E23" s="6" t="inlineStr">
        <is>
          <t>Ácido Alfa-lipoico 60 mg/mL; total 300 mg em 5 mL</t>
        </is>
      </c>
      <c r="F23" s="6" t="inlineStr">
        <is>
          <t>EV/IM</t>
        </is>
      </c>
      <c r="G23" s="6" t="inlineStr">
        <is>
          <t>Stin Pharma</t>
        </is>
      </c>
      <c r="H23" s="8" t="inlineStr">
        <is>
          <t>CONFIRMADO; SKU RESTRINGE EV</t>
        </is>
      </c>
      <c r="I23" s="6" t="inlineStr">
        <is>
          <t>Conferir foto do rótulo/embalagem antes de renomear ou importar</t>
        </is>
      </c>
    </row>
    <row r="24" ht="58" customHeight="1">
      <c r="A24" s="6" t="inlineStr">
        <is>
          <t>JDO-021-EV-ALFA-LIPOICO-600</t>
        </is>
      </c>
      <c r="B24" s="6" t="inlineStr">
        <is>
          <t>ALFA LIPOICO 600</t>
        </is>
      </c>
      <c r="C24" s="6" t="inlineStr">
        <is>
          <t>Ácido Alfa-lipoico 600 mg/30 mL EV</t>
        </is>
      </c>
      <c r="D24" s="6" t="inlineStr">
        <is>
          <t>STIN-P002</t>
        </is>
      </c>
      <c r="E24" s="6" t="inlineStr">
        <is>
          <t>Ácido Alfa-lipoico 600 mg em 30 mL</t>
        </is>
      </c>
      <c r="F24" s="6" t="inlineStr">
        <is>
          <t>EV</t>
        </is>
      </c>
      <c r="G24" s="6" t="inlineStr">
        <is>
          <t>Stin Pharma</t>
        </is>
      </c>
      <c r="H24" s="7" t="inlineStr">
        <is>
          <t>CONFIRMADO</t>
        </is>
      </c>
      <c r="I24" s="6" t="inlineStr">
        <is>
          <t>Nenhuma</t>
        </is>
      </c>
    </row>
    <row r="25" ht="58" customHeight="1">
      <c r="A25" s="6" t="inlineStr">
        <is>
          <t>JDO-022-EV-ANTI-INFLAMATORIO-E-ANTIOXID</t>
        </is>
      </c>
      <c r="B25" s="6" t="inlineStr">
        <is>
          <t>ANTI INFLAMATORIO E ANTIOXIDANTE</t>
        </is>
      </c>
      <c r="C25" s="6" t="inlineStr">
        <is>
          <t>Anti-inflamatório e Antioxidante — Protocolo EV 1.5</t>
        </is>
      </c>
      <c r="D25" s="6" t="inlineStr">
        <is>
          <t>ESS-EV1-5-P</t>
        </is>
      </c>
      <c r="E25" s="6" t="inlineStr">
        <is>
          <t>MSM 750 mg/5 mL + NAC 300 mg/2 mL + L-Carnitina 600 mg/2 mL + Complexo B sem B1 + SAME 200 mg/2 mL + Aminoácidos</t>
        </is>
      </c>
      <c r="F25" s="6" t="inlineStr">
        <is>
          <t>EV</t>
        </is>
      </c>
      <c r="G25" s="6" t="inlineStr">
        <is>
          <t>Essentia Pharma</t>
        </is>
      </c>
      <c r="H25" s="7" t="inlineStr">
        <is>
          <t>CONFIRMADO</t>
        </is>
      </c>
      <c r="I25" s="6" t="inlineStr">
        <is>
          <t>Nenhuma</t>
        </is>
      </c>
    </row>
    <row r="26" ht="58" customHeight="1">
      <c r="A26" s="6" t="inlineStr">
        <is>
          <t>JDO-023-EV-COGNICAO-E-MEMORIA-PLUS</t>
        </is>
      </c>
      <c r="B26" s="6" t="inlineStr">
        <is>
          <t>COGNIÇÃO E MEMÓRIA PLUS</t>
        </is>
      </c>
      <c r="C26" s="6" t="inlineStr">
        <is>
          <t>Cognição e Memória Plus — Protocolo EV 3.10</t>
        </is>
      </c>
      <c r="D26" s="6" t="inlineStr">
        <is>
          <t>ESS-EV3-10-P</t>
        </is>
      </c>
      <c r="E26" s="6" t="inlineStr">
        <is>
          <t>Piracetam + L-Theanina + Inositol/Taurina + L-Fenilalanina + ATP + Aminoácidos + Alfa-GPC + Colina/L-Carnitina/B5</t>
        </is>
      </c>
      <c r="F26" s="6" t="inlineStr">
        <is>
          <t>EV</t>
        </is>
      </c>
      <c r="G26" s="6" t="inlineStr">
        <is>
          <t>Essentia Pharma</t>
        </is>
      </c>
      <c r="H26" s="7" t="inlineStr">
        <is>
          <t>CONFIRMADO</t>
        </is>
      </c>
      <c r="I26" s="6" t="inlineStr">
        <is>
          <t>Nenhuma</t>
        </is>
      </c>
    </row>
    <row r="27" ht="58" customHeight="1">
      <c r="A27" s="6" t="inlineStr">
        <is>
          <t>JDO-024-EV-DISBIOSE</t>
        </is>
      </c>
      <c r="B27" s="6" t="inlineStr">
        <is>
          <t>DISBIOSE</t>
        </is>
      </c>
      <c r="C27" s="6" t="inlineStr">
        <is>
          <t>Disbiose — composição a confirmar — EV</t>
        </is>
      </c>
      <c r="D27" s="6" t="inlineStr"/>
      <c r="E27" s="6" t="inlineStr">
        <is>
          <t>Fornecedor informado como Stin; correspondência encontrada apenas no catálogo Essentia</t>
        </is>
      </c>
      <c r="F27" s="6" t="inlineStr">
        <is>
          <t>EV</t>
        </is>
      </c>
      <c r="G27" s="6" t="inlineStr">
        <is>
          <t>Stin Pharma</t>
        </is>
      </c>
      <c r="H27" s="8" t="inlineStr">
        <is>
          <t>CONFIRMAR FORNECEDOR/RÓTULO</t>
        </is>
      </c>
      <c r="I27" s="6" t="inlineStr">
        <is>
          <t>Conferir foto do rótulo/embalagem antes de renomear ou importar</t>
        </is>
      </c>
    </row>
    <row r="28" ht="58" customHeight="1">
      <c r="A28" s="6" t="inlineStr">
        <is>
          <t>JDO-025-EV-ESTEATOSE-HEPATICA</t>
        </is>
      </c>
      <c r="B28" s="6" t="inlineStr">
        <is>
          <t>ESTEATOSE HEPÁTICA</t>
        </is>
      </c>
      <c r="C28" s="6" t="inlineStr">
        <is>
          <t>Esteatose Hepática — composição a confirmar — EV</t>
        </is>
      </c>
      <c r="D28" s="6" t="inlineStr"/>
      <c r="E28" s="6" t="inlineStr">
        <is>
          <t>Fornecedor informado como Stin; correspondência encontrada apenas no catálogo Essentia</t>
        </is>
      </c>
      <c r="F28" s="6" t="inlineStr">
        <is>
          <t>EV</t>
        </is>
      </c>
      <c r="G28" s="6" t="inlineStr">
        <is>
          <t>Stin Pharma</t>
        </is>
      </c>
      <c r="H28" s="8" t="inlineStr">
        <is>
          <t>CONFIRMAR FORNECEDOR/RÓTULO</t>
        </is>
      </c>
      <c r="I28" s="6" t="inlineStr">
        <is>
          <t>Conferir foto do rótulo/embalagem antes de renomear ou importar</t>
        </is>
      </c>
    </row>
    <row r="29" ht="58" customHeight="1">
      <c r="A29" s="6" t="inlineStr">
        <is>
          <t>JDO-026-EV-FADIGA-INDISPOSICAO</t>
        </is>
      </c>
      <c r="B29" s="6" t="inlineStr">
        <is>
          <t>FADIGA/INDISPOSIÇÃO</t>
        </is>
      </c>
      <c r="C29" s="6" t="inlineStr">
        <is>
          <t>Fadiga/Indisposição — Protocolo EV 2.1</t>
        </is>
      </c>
      <c r="D29" s="6" t="inlineStr">
        <is>
          <t>ESS-EV2-1-P</t>
        </is>
      </c>
      <c r="E29" s="6" t="inlineStr">
        <is>
          <t>NAC + Magnésio + Metilcobalamina + Complexo B sem B1 + D-Ribose + Taurina + Aminoácidos + Inositol</t>
        </is>
      </c>
      <c r="F29" s="6" t="inlineStr">
        <is>
          <t>EV</t>
        </is>
      </c>
      <c r="G29" s="6" t="inlineStr">
        <is>
          <t>Essentia Pharma</t>
        </is>
      </c>
      <c r="H29" s="7" t="inlineStr">
        <is>
          <t>CONFIRMADO</t>
        </is>
      </c>
      <c r="I29" s="6" t="inlineStr">
        <is>
          <t>Nenhuma</t>
        </is>
      </c>
    </row>
    <row r="30" ht="58" customHeight="1">
      <c r="A30" s="6" t="inlineStr">
        <is>
          <t>JDO-027-EV-FADIGA-MUSCULAR-E-HIPERTROFI</t>
        </is>
      </c>
      <c r="B30" s="6" t="inlineStr">
        <is>
          <t>FADIGA MUSCULAR E HIPERTROFIA</t>
        </is>
      </c>
      <c r="C30" s="6" t="inlineStr">
        <is>
          <t>Fadiga Muscular e Hipertrofia — composição a confirmar — EV</t>
        </is>
      </c>
      <c r="D30" s="6" t="inlineStr"/>
      <c r="E30" s="6" t="inlineStr">
        <is>
          <t>Composição exata não localizada com esse nome no catálogo Stin cadastrado</t>
        </is>
      </c>
      <c r="F30" s="6" t="inlineStr">
        <is>
          <t>EV</t>
        </is>
      </c>
      <c r="G30" s="6" t="inlineStr">
        <is>
          <t>Stin Pharma</t>
        </is>
      </c>
      <c r="H30" s="8" t="inlineStr">
        <is>
          <t>CONFIRMAR RÓTULO</t>
        </is>
      </c>
      <c r="I30" s="6" t="inlineStr">
        <is>
          <t>Conferir foto do rótulo/embalagem antes de renomear ou importar</t>
        </is>
      </c>
    </row>
    <row r="31" ht="58" customHeight="1">
      <c r="A31" s="6" t="inlineStr">
        <is>
          <t>JDO-028-EV-FERRO</t>
        </is>
      </c>
      <c r="B31" s="6" t="inlineStr">
        <is>
          <t>FERRO</t>
        </is>
      </c>
      <c r="C31" s="6" t="inlineStr">
        <is>
          <t>Ferro — princípio ativo, concentração e volume a confirmar — EV</t>
        </is>
      </c>
      <c r="D31" s="6" t="inlineStr"/>
      <c r="E31" s="6" t="inlineStr">
        <is>
          <t>Não assumir carboximaltose sem conferir rótulo e fornecedor</t>
        </is>
      </c>
      <c r="F31" s="6" t="inlineStr">
        <is>
          <t>EV</t>
        </is>
      </c>
      <c r="G31" s="6" t="inlineStr">
        <is>
          <t>Farmácia</t>
        </is>
      </c>
      <c r="H31" s="8" t="inlineStr">
        <is>
          <t>CONFIRMAR RÓTULO</t>
        </is>
      </c>
      <c r="I31" s="6" t="inlineStr">
        <is>
          <t>Conferir foto do rótulo/embalagem antes de renomear ou importar</t>
        </is>
      </c>
    </row>
    <row r="32" ht="58" customHeight="1">
      <c r="A32" s="6" t="inlineStr">
        <is>
          <t>JDO-029-EV-IMUNIDADE</t>
        </is>
      </c>
      <c r="B32" s="6" t="inlineStr">
        <is>
          <t>IMUNIDADE</t>
        </is>
      </c>
      <c r="C32" s="6" t="inlineStr">
        <is>
          <t>Imunidade — Protocolo EV 1.1</t>
        </is>
      </c>
      <c r="D32" s="6" t="inlineStr">
        <is>
          <t>ESS-EV1-1-P</t>
        </is>
      </c>
      <c r="E32" s="6" t="inlineStr">
        <is>
          <t>Alanil Glutamina + Complexo B sem B1 + NAC + L-Glutationa + Minerais</t>
        </is>
      </c>
      <c r="F32" s="6" t="inlineStr">
        <is>
          <t>EV</t>
        </is>
      </c>
      <c r="G32" s="6" t="inlineStr">
        <is>
          <t>Essentia Pharma</t>
        </is>
      </c>
      <c r="H32" s="7" t="inlineStr">
        <is>
          <t>CONFIRMADO</t>
        </is>
      </c>
      <c r="I32" s="6" t="inlineStr">
        <is>
          <t>Nenhuma</t>
        </is>
      </c>
    </row>
    <row r="33" ht="58" customHeight="1">
      <c r="A33" s="6" t="inlineStr">
        <is>
          <t>JDO-030-EV-L-BAIBA</t>
        </is>
      </c>
      <c r="B33" s="6" t="inlineStr">
        <is>
          <t>L BAIBA</t>
        </is>
      </c>
      <c r="C33" s="6" t="inlineStr">
        <is>
          <t>L-BAIBA 100 mg/1 mL EV</t>
        </is>
      </c>
      <c r="D33" s="6" t="inlineStr">
        <is>
          <t>ESS-P074</t>
        </is>
      </c>
      <c r="E33" s="6" t="inlineStr">
        <is>
          <t>Ácido L-β-aminoisobutírico 10%; 100 mg em 1 mL</t>
        </is>
      </c>
      <c r="F33" s="6" t="inlineStr">
        <is>
          <t>EV/IM</t>
        </is>
      </c>
      <c r="G33" s="6" t="inlineStr">
        <is>
          <t>Essentia Pharma</t>
        </is>
      </c>
      <c r="H33" s="8" t="inlineStr">
        <is>
          <t>CONFIRMADO; SKU RESTRINGE EV</t>
        </is>
      </c>
      <c r="I33" s="6" t="inlineStr">
        <is>
          <t>Conferir foto do rótulo/embalagem antes de renomear ou importar</t>
        </is>
      </c>
    </row>
    <row r="34" ht="58" customHeight="1">
      <c r="A34" s="6" t="inlineStr">
        <is>
          <t>JDO-031-EV-L-GLUTATION</t>
        </is>
      </c>
      <c r="B34" s="6" t="inlineStr">
        <is>
          <t>L GLUTATION</t>
        </is>
      </c>
      <c r="C34" s="6" t="inlineStr">
        <is>
          <t>L-Glutationa 600 mg/5 mL EV</t>
        </is>
      </c>
      <c r="D34" s="6" t="inlineStr">
        <is>
          <t>STIN-P055</t>
        </is>
      </c>
      <c r="E34" s="6" t="inlineStr">
        <is>
          <t>L-Glutationa 600 mg em 5 mL</t>
        </is>
      </c>
      <c r="F34" s="6" t="inlineStr">
        <is>
          <t>EV/IM</t>
        </is>
      </c>
      <c r="G34" s="6" t="inlineStr">
        <is>
          <t>Stin Pharma</t>
        </is>
      </c>
      <c r="H34" s="8" t="inlineStr">
        <is>
          <t>CONFIRMADO; SKU RESTRINGE EV</t>
        </is>
      </c>
      <c r="I34" s="6" t="inlineStr">
        <is>
          <t>Conferir foto do rótulo/embalagem antes de renomear ou importar</t>
        </is>
      </c>
    </row>
    <row r="35" ht="58" customHeight="1">
      <c r="A35" s="6" t="inlineStr">
        <is>
          <t>JDO-032-Outra-LIDOCAINA</t>
        </is>
      </c>
      <c r="B35" s="6" t="inlineStr">
        <is>
          <t>LIDOCAÍNA</t>
        </is>
      </c>
      <c r="C35" s="6" t="inlineStr">
        <is>
          <t>Lidocaína — concentração, volume e via a confirmar</t>
        </is>
      </c>
      <c r="D35" s="6" t="inlineStr"/>
      <c r="E35" s="6" t="inlineStr">
        <is>
          <t>Existem várias concentrações e apresentações; conferir rótulo</t>
        </is>
      </c>
      <c r="F35" s="6" t="inlineStr"/>
      <c r="G35" s="6" t="inlineStr">
        <is>
          <t>Stin Pharma</t>
        </is>
      </c>
      <c r="H35" s="8" t="inlineStr">
        <is>
          <t>CONFIRMAR RÓTULO</t>
        </is>
      </c>
      <c r="I35" s="6" t="inlineStr">
        <is>
          <t>Conferir foto do rótulo/embalagem antes de renomear ou importar</t>
        </is>
      </c>
    </row>
    <row r="36" ht="58" customHeight="1">
      <c r="A36" s="6" t="inlineStr">
        <is>
          <t>JDO-033-EV-RESISTENCIA-INSULINICA</t>
        </is>
      </c>
      <c r="B36" s="6" t="inlineStr">
        <is>
          <t>RESISTÊNCIA INSULÍNICA</t>
        </is>
      </c>
      <c r="C36" s="6" t="inlineStr">
        <is>
          <t>Resistência Insulínica — Protocolo EV 8.3</t>
        </is>
      </c>
      <c r="D36" s="6" t="inlineStr">
        <is>
          <t>ESS-EV8-3-P</t>
        </is>
      </c>
      <c r="E36" s="6" t="inlineStr">
        <is>
          <t>Minerais + L-Arginina + NAC + Cromo + Complexo B sem B1 + Magnésio + Vanádio</t>
        </is>
      </c>
      <c r="F36" s="6" t="inlineStr">
        <is>
          <t>EV</t>
        </is>
      </c>
      <c r="G36" s="6" t="inlineStr">
        <is>
          <t>Essentia Pharma</t>
        </is>
      </c>
      <c r="H36" s="7" t="inlineStr">
        <is>
          <t>CONFIRMADO</t>
        </is>
      </c>
      <c r="I36" s="6" t="inlineStr">
        <is>
          <t>Nenhuma</t>
        </is>
      </c>
    </row>
  </sheetData>
  <autoFilter ref="A3:I36"/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2" customWidth="1" min="10" max="10"/>
  </cols>
  <sheetData>
    <row r="1" ht="30" customHeight="1">
      <c r="A1" s="1" t="inlineStr">
        <is>
          <t>CADASTRO OFICIAL DE PRODUTOS</t>
        </is>
      </c>
    </row>
    <row r="2" ht="32" customHeight="1">
      <c r="A2" s="2" t="inlineStr">
        <is>
          <t>Revise o cadastro mestre. Campos com * são obrigatórios. Preço de venda é apenas referência comercial e não substitui o custo do lote.</t>
        </is>
      </c>
    </row>
    <row r="3" ht="34" customHeight="1">
      <c r="A3" s="5" t="inlineStr">
        <is>
          <t>SKU*</t>
        </is>
      </c>
      <c r="B3" s="5" t="inlineStr">
        <is>
          <t>Produto*</t>
        </is>
      </c>
      <c r="C3" s="5" t="inlineStr">
        <is>
          <t>Categoria*</t>
        </is>
      </c>
      <c r="D3" s="5" t="inlineStr">
        <is>
          <t>Unidade de medida*</t>
        </is>
      </c>
      <c r="E3" s="5" t="inlineStr">
        <is>
          <t>Estoque mínimo</t>
        </is>
      </c>
      <c r="F3" s="5" t="inlineStr">
        <is>
          <t>Preço de venda referência</t>
        </is>
      </c>
      <c r="G3" s="5" t="inlineStr">
        <is>
          <t>Rota</t>
        </is>
      </c>
      <c r="H3" s="5" t="inlineStr">
        <is>
          <t>Ativo?*</t>
        </is>
      </c>
      <c r="I3" s="5" t="inlineStr">
        <is>
          <t>Controla estoque?*</t>
        </is>
      </c>
      <c r="J3" s="5" t="inlineStr">
        <is>
          <t>Observações</t>
        </is>
      </c>
    </row>
    <row r="4">
      <c r="A4" t="inlineStr">
        <is>
          <t>JDO-001-IM-ADEK</t>
        </is>
      </c>
      <c r="B4" t="inlineStr">
        <is>
          <t>ADEK 600.000 UI/1 mL IM</t>
        </is>
      </c>
      <c r="C4" t="inlineStr">
        <is>
          <t>Injetáveis</t>
        </is>
      </c>
      <c r="D4" t="inlineStr">
        <is>
          <t>Caixa</t>
        </is>
      </c>
      <c r="E4" s="9" t="n">
        <v>20</v>
      </c>
      <c r="F4" s="10" t="n">
        <v>600</v>
      </c>
      <c r="G4" t="inlineStr">
        <is>
          <t>IM</t>
        </is>
      </c>
      <c r="H4" t="inlineStr">
        <is>
          <t>SIM</t>
        </is>
      </c>
      <c r="I4" t="inlineStr">
        <is>
          <t>SIM</t>
        </is>
      </c>
    </row>
    <row r="5">
      <c r="A5" t="inlineStr">
        <is>
          <t>JDO-002-IM-ANTI-INFLAMATORIO-E-ANTIOXID</t>
        </is>
      </c>
      <c r="B5" t="inlineStr">
        <is>
          <t>ANTI INFLAMATORIO E ANTIOXIDANTE</t>
        </is>
      </c>
      <c r="C5" t="inlineStr">
        <is>
          <t>Injetáveis</t>
        </is>
      </c>
      <c r="D5" t="inlineStr">
        <is>
          <t>Kit</t>
        </is>
      </c>
      <c r="E5" s="9" t="n">
        <v>20</v>
      </c>
      <c r="F5" s="10" t="n"/>
      <c r="G5" t="inlineStr">
        <is>
          <t>IM</t>
        </is>
      </c>
      <c r="H5" t="inlineStr">
        <is>
          <t>SIM</t>
        </is>
      </c>
      <c r="I5" t="inlineStr">
        <is>
          <t>SIM</t>
        </is>
      </c>
      <c r="J5" t="inlineStr">
        <is>
          <t>DIVERGÊNCIA DE VIA: SKU DIZ IM</t>
        </is>
      </c>
    </row>
    <row r="6">
      <c r="A6" t="inlineStr">
        <is>
          <t>JDO-003-IM-BOOSTER-ATP</t>
        </is>
      </c>
      <c r="B6" t="inlineStr">
        <is>
          <t>Booster Energético — ATP 20 mg + L-Carnitina 600 mg + PQQ 5 mg/2 mL EV/IM</t>
        </is>
      </c>
      <c r="C6" t="inlineStr">
        <is>
          <t>Injetáveis</t>
        </is>
      </c>
      <c r="D6" t="inlineStr">
        <is>
          <t>Caixa</t>
        </is>
      </c>
      <c r="E6" s="9" t="n">
        <v>30</v>
      </c>
      <c r="F6" s="10" t="n">
        <v>350</v>
      </c>
      <c r="G6" t="inlineStr">
        <is>
          <t>IM</t>
        </is>
      </c>
      <c r="H6" t="inlineStr">
        <is>
          <t>SIM</t>
        </is>
      </c>
      <c r="I6" t="inlineStr">
        <is>
          <t>SIM</t>
        </is>
      </c>
    </row>
    <row r="7">
      <c r="A7" t="inlineStr">
        <is>
          <t>JDO-004-IM-BOOSTER-MOROSIL</t>
        </is>
      </c>
      <c r="B7" t="inlineStr">
        <is>
          <t>BOOSTER MOROSIL</t>
        </is>
      </c>
      <c r="C7" t="inlineStr">
        <is>
          <t>Injetáveis</t>
        </is>
      </c>
      <c r="D7" t="inlineStr">
        <is>
          <t>Caixa</t>
        </is>
      </c>
      <c r="E7" s="9" t="n">
        <v>20</v>
      </c>
      <c r="F7" s="10" t="n"/>
      <c r="G7" t="inlineStr">
        <is>
          <t>IM</t>
        </is>
      </c>
      <c r="H7" t="inlineStr">
        <is>
          <t>SIM</t>
        </is>
      </c>
      <c r="I7" t="inlineStr">
        <is>
          <t>SIM</t>
        </is>
      </c>
      <c r="J7" t="inlineStr">
        <is>
          <t>CONFIRMAR RÓTULO</t>
        </is>
      </c>
    </row>
    <row r="8">
      <c r="A8" t="inlineStr">
        <is>
          <t>JDO-005-IM-COENZIMA-Q10</t>
        </is>
      </c>
      <c r="B8" t="inlineStr">
        <is>
          <t>Coenzima Q10 100 mg/2 mL IM</t>
        </is>
      </c>
      <c r="C8" t="inlineStr">
        <is>
          <t>Injetáveis</t>
        </is>
      </c>
      <c r="D8" t="inlineStr">
        <is>
          <t>Caixa</t>
        </is>
      </c>
      <c r="E8" s="9" t="n">
        <v>30</v>
      </c>
      <c r="F8" s="10" t="n">
        <v>350</v>
      </c>
      <c r="G8" t="inlineStr">
        <is>
          <t>IM</t>
        </is>
      </c>
      <c r="H8" t="inlineStr">
        <is>
          <t>SIM</t>
        </is>
      </c>
      <c r="I8" t="inlineStr">
        <is>
          <t>SIM</t>
        </is>
      </c>
    </row>
    <row r="9">
      <c r="A9" t="inlineStr">
        <is>
          <t>JDO-006-IM-CURCUMINA</t>
        </is>
      </c>
      <c r="B9" t="inlineStr">
        <is>
          <t>Curcumina 200 mg/2 mL IM</t>
        </is>
      </c>
      <c r="C9" t="inlineStr">
        <is>
          <t>Injetáveis</t>
        </is>
      </c>
      <c r="D9" t="inlineStr">
        <is>
          <t>Caixa</t>
        </is>
      </c>
      <c r="E9" s="9" t="n">
        <v>30</v>
      </c>
      <c r="F9" s="10" t="n">
        <v>250</v>
      </c>
      <c r="G9" t="inlineStr">
        <is>
          <t>IM</t>
        </is>
      </c>
      <c r="H9" t="inlineStr">
        <is>
          <t>SIM</t>
        </is>
      </c>
      <c r="I9" t="inlineStr">
        <is>
          <t>SIM</t>
        </is>
      </c>
    </row>
    <row r="10">
      <c r="A10" t="inlineStr">
        <is>
          <t>JDO-007-IM-INSULIN-SUPPORT</t>
        </is>
      </c>
      <c r="B10" t="inlineStr">
        <is>
          <t>INSULIN SUPPORT</t>
        </is>
      </c>
      <c r="C10" t="inlineStr">
        <is>
          <t>Injetáveis</t>
        </is>
      </c>
      <c r="D10" t="inlineStr">
        <is>
          <t>Frasco-ampola</t>
        </is>
      </c>
      <c r="E10" s="9" t="n">
        <v>30</v>
      </c>
      <c r="F10" s="10" t="n">
        <v>500</v>
      </c>
      <c r="G10" t="inlineStr">
        <is>
          <t>IM</t>
        </is>
      </c>
      <c r="H10" t="inlineStr">
        <is>
          <t>SIM</t>
        </is>
      </c>
      <c r="I10" t="inlineStr">
        <is>
          <t>SIM</t>
        </is>
      </c>
      <c r="J10" t="inlineStr">
        <is>
          <t>CONFIRMAR VOLUME COM FORNECEDOR</t>
        </is>
      </c>
    </row>
    <row r="11">
      <c r="A11" t="inlineStr">
        <is>
          <t>JDO-008-IM-L-GLUTATION</t>
        </is>
      </c>
      <c r="B11" t="inlineStr">
        <is>
          <t>L-Glutationa 600 mg/5 mL EV/IM</t>
        </is>
      </c>
      <c r="C11" t="inlineStr">
        <is>
          <t>Injetáveis</t>
        </is>
      </c>
      <c r="D11" t="inlineStr">
        <is>
          <t>Caixa</t>
        </is>
      </c>
      <c r="E11" s="9" t="n">
        <v>0</v>
      </c>
      <c r="F11" s="10" t="n"/>
      <c r="G11" t="inlineStr">
        <is>
          <t>IM</t>
        </is>
      </c>
      <c r="H11" t="inlineStr">
        <is>
          <t>SIM</t>
        </is>
      </c>
      <c r="I11" t="inlineStr">
        <is>
          <t>SIM</t>
        </is>
      </c>
    </row>
    <row r="12">
      <c r="A12" t="inlineStr">
        <is>
          <t>JDO-009-IM-NADH</t>
        </is>
      </c>
      <c r="B12" t="inlineStr">
        <is>
          <t>NADH</t>
        </is>
      </c>
      <c r="C12" t="inlineStr">
        <is>
          <t>Injetáveis</t>
        </is>
      </c>
      <c r="D12" t="inlineStr">
        <is>
          <t>Frasco-ampola</t>
        </is>
      </c>
      <c r="E12" s="9" t="n">
        <v>20</v>
      </c>
      <c r="F12" s="10" t="n">
        <v>560</v>
      </c>
      <c r="G12" t="inlineStr">
        <is>
          <t>IM</t>
        </is>
      </c>
      <c r="H12" t="inlineStr">
        <is>
          <t>SIM</t>
        </is>
      </c>
      <c r="I12" t="inlineStr">
        <is>
          <t>SIM</t>
        </is>
      </c>
      <c r="J12" t="inlineStr">
        <is>
          <t>CONFIRMAR RECONSTITUIÇÃO</t>
        </is>
      </c>
    </row>
    <row r="13">
      <c r="A13" t="inlineStr">
        <is>
          <t>JDO-010-IM-NANDROLONA-DECANOATO</t>
        </is>
      </c>
      <c r="B13" t="inlineStr">
        <is>
          <t>NANDROLONA DECANOATO</t>
        </is>
      </c>
      <c r="C13" t="inlineStr">
        <is>
          <t>Injetáveis</t>
        </is>
      </c>
      <c r="D13" t="inlineStr">
        <is>
          <t>Ampola</t>
        </is>
      </c>
      <c r="E13" s="9" t="n">
        <v>10</v>
      </c>
      <c r="F13" s="10" t="n">
        <v>620</v>
      </c>
      <c r="G13" t="inlineStr">
        <is>
          <t>IM</t>
        </is>
      </c>
      <c r="H13" t="inlineStr">
        <is>
          <t>SIM</t>
        </is>
      </c>
      <c r="I13" t="inlineStr">
        <is>
          <t>SIM</t>
        </is>
      </c>
      <c r="J13" t="inlineStr">
        <is>
          <t>CONFIRMAR RÓTULO</t>
        </is>
      </c>
    </row>
    <row r="14">
      <c r="A14" t="inlineStr">
        <is>
          <t>JDO-011-EVIM-POOL-COGNITIVO-NEURO-HEALTH</t>
        </is>
      </c>
      <c r="B14" t="inlineStr">
        <is>
          <t>POOL COGNITIVO (NEURO HEALTH)</t>
        </is>
      </c>
      <c r="C14" t="inlineStr">
        <is>
          <t>Injetáveis</t>
        </is>
      </c>
      <c r="D14" t="inlineStr">
        <is>
          <t>Ampola</t>
        </is>
      </c>
      <c r="E14" s="9" t="n">
        <v>10</v>
      </c>
      <c r="F14" s="10" t="n"/>
      <c r="G14" t="inlineStr">
        <is>
          <t>EV/IM</t>
        </is>
      </c>
      <c r="H14" t="inlineStr">
        <is>
          <t>SIM</t>
        </is>
      </c>
      <c r="I14" t="inlineStr">
        <is>
          <t>SIM</t>
        </is>
      </c>
      <c r="J14" t="inlineStr">
        <is>
          <t>CONFIRMAR RÓTULO</t>
        </is>
      </c>
    </row>
    <row r="15">
      <c r="A15" t="inlineStr">
        <is>
          <t>JDO-012-IM-RESVERATROL</t>
        </is>
      </c>
      <c r="B15" t="inlineStr">
        <is>
          <t>Resveratrol 10 mg/1 mL IM/SC</t>
        </is>
      </c>
      <c r="C15" t="inlineStr">
        <is>
          <t>Injetáveis</t>
        </is>
      </c>
      <c r="D15" t="inlineStr">
        <is>
          <t>Caixa</t>
        </is>
      </c>
      <c r="E15" s="9" t="n">
        <v>30</v>
      </c>
      <c r="F15" s="10" t="n">
        <v>350</v>
      </c>
      <c r="G15" t="inlineStr">
        <is>
          <t>IM</t>
        </is>
      </c>
      <c r="H15" t="inlineStr">
        <is>
          <t>SIM</t>
        </is>
      </c>
      <c r="I15" t="inlineStr">
        <is>
          <t>SIM</t>
        </is>
      </c>
    </row>
    <row r="16">
      <c r="A16" t="inlineStr">
        <is>
          <t>JDO-013-IM-RESVERATROL-MICELAR</t>
        </is>
      </c>
      <c r="B16" t="inlineStr">
        <is>
          <t>Nanomicelas de Resveratrol 10 mg/1 mL EV/IM</t>
        </is>
      </c>
      <c r="C16" t="inlineStr">
        <is>
          <t>Injetáveis</t>
        </is>
      </c>
      <c r="D16" t="inlineStr">
        <is>
          <t>Caixa</t>
        </is>
      </c>
      <c r="E16" s="9" t="n">
        <v>30</v>
      </c>
      <c r="F16" s="10" t="n">
        <v>500</v>
      </c>
      <c r="G16" t="inlineStr">
        <is>
          <t>IM</t>
        </is>
      </c>
      <c r="H16" t="inlineStr">
        <is>
          <t>SIM</t>
        </is>
      </c>
      <c r="I16" t="inlineStr">
        <is>
          <t>SIM</t>
        </is>
      </c>
    </row>
    <row r="17">
      <c r="A17" t="inlineStr">
        <is>
          <t>JDO-014-IM-TESTOSTERONA-CIPIONATO</t>
        </is>
      </c>
      <c r="B17" t="inlineStr">
        <is>
          <t>TESTOSTERONA CIPIONATO</t>
        </is>
      </c>
      <c r="C17" t="inlineStr">
        <is>
          <t>Injetáveis</t>
        </is>
      </c>
      <c r="D17" t="inlineStr">
        <is>
          <t>Ampola</t>
        </is>
      </c>
      <c r="E17" s="9" t="n">
        <v>15</v>
      </c>
      <c r="F17" s="10" t="n">
        <v>500</v>
      </c>
      <c r="G17" t="inlineStr">
        <is>
          <t>IM</t>
        </is>
      </c>
      <c r="H17" t="inlineStr">
        <is>
          <t>SIM</t>
        </is>
      </c>
      <c r="I17" t="inlineStr">
        <is>
          <t>SIM</t>
        </is>
      </c>
      <c r="J17" t="inlineStr">
        <is>
          <t>CONFIRMAR RÓTULO</t>
        </is>
      </c>
    </row>
    <row r="18">
      <c r="A18" t="inlineStr">
        <is>
          <t>JDO-015-IM-TESTOSTERONA-DURATESTON</t>
        </is>
      </c>
      <c r="B18" t="inlineStr">
        <is>
          <t>TESTOSTERONA DURATESTON</t>
        </is>
      </c>
      <c r="C18" t="inlineStr">
        <is>
          <t>Injetáveis</t>
        </is>
      </c>
      <c r="D18" t="inlineStr">
        <is>
          <t>Frasco-ampola</t>
        </is>
      </c>
      <c r="E18" s="9" t="n">
        <v>15</v>
      </c>
      <c r="F18" s="10" t="n">
        <v>650</v>
      </c>
      <c r="G18" t="inlineStr">
        <is>
          <t>IM</t>
        </is>
      </c>
      <c r="H18" t="inlineStr">
        <is>
          <t>SIM</t>
        </is>
      </c>
      <c r="I18" t="inlineStr">
        <is>
          <t>SIM</t>
        </is>
      </c>
      <c r="J18" t="inlineStr">
        <is>
          <t>CONFIRMAR RÓTULO</t>
        </is>
      </c>
    </row>
    <row r="19">
      <c r="A19" t="inlineStr">
        <is>
          <t>JDO-016-IM-TRIO-METILADOR</t>
        </is>
      </c>
      <c r="B19" t="inlineStr">
        <is>
          <t>Trio Metilador 2 mL EV/IM</t>
        </is>
      </c>
      <c r="C19" t="inlineStr">
        <is>
          <t>Injetáveis</t>
        </is>
      </c>
      <c r="D19" t="inlineStr">
        <is>
          <t>Caixa</t>
        </is>
      </c>
      <c r="E19" s="9" t="n">
        <v>10</v>
      </c>
      <c r="F19" s="10" t="n">
        <v>490</v>
      </c>
      <c r="G19" t="inlineStr">
        <is>
          <t>IM</t>
        </is>
      </c>
      <c r="H19" t="inlineStr">
        <is>
          <t>SIM</t>
        </is>
      </c>
      <c r="I19" t="inlineStr">
        <is>
          <t>SIM</t>
        </is>
      </c>
    </row>
    <row r="20">
      <c r="A20" t="inlineStr">
        <is>
          <t>JDO-017-IM-TRIO-DETOX</t>
        </is>
      </c>
      <c r="B20" t="inlineStr">
        <is>
          <t>TRIO DETOX</t>
        </is>
      </c>
      <c r="C20" t="inlineStr">
        <is>
          <t>Injetáveis</t>
        </is>
      </c>
      <c r="D20" t="inlineStr">
        <is>
          <t>Caixa</t>
        </is>
      </c>
      <c r="E20" s="9" t="n">
        <v>20</v>
      </c>
      <c r="F20" s="10" t="n">
        <v>300</v>
      </c>
      <c r="G20" t="inlineStr">
        <is>
          <t>IM</t>
        </is>
      </c>
      <c r="H20" t="inlineStr">
        <is>
          <t>SIM</t>
        </is>
      </c>
      <c r="I20" t="inlineStr">
        <is>
          <t>SIM</t>
        </is>
      </c>
      <c r="J20" t="inlineStr">
        <is>
          <t>CONFIRMAR RÓTULO</t>
        </is>
      </c>
    </row>
    <row r="21">
      <c r="A21" t="inlineStr">
        <is>
          <t>JDO-018-IM-VITAMINA-B12</t>
        </is>
      </c>
      <c r="B21" t="inlineStr">
        <is>
          <t>VITAMINA B12</t>
        </is>
      </c>
      <c r="C21" t="inlineStr">
        <is>
          <t>Injetáveis</t>
        </is>
      </c>
      <c r="D21" t="inlineStr">
        <is>
          <t>Caixa</t>
        </is>
      </c>
      <c r="E21" s="9" t="n">
        <v>20</v>
      </c>
      <c r="F21" s="10" t="n">
        <v>250</v>
      </c>
      <c r="G21" t="inlineStr">
        <is>
          <t>IM</t>
        </is>
      </c>
      <c r="H21" t="inlineStr">
        <is>
          <t>SIM</t>
        </is>
      </c>
      <c r="I21" t="inlineStr">
        <is>
          <t>SIM</t>
        </is>
      </c>
      <c r="J21" t="inlineStr">
        <is>
          <t>CONFIRMAR RÓTULO</t>
        </is>
      </c>
    </row>
    <row r="22">
      <c r="A22" t="inlineStr">
        <is>
          <t>JDO-019-IM-VITAMINA-D3</t>
        </is>
      </c>
      <c r="B22" t="inlineStr">
        <is>
          <t>Vitamina D3 600.000 UI/1 mL IM</t>
        </is>
      </c>
      <c r="C22" t="inlineStr">
        <is>
          <t>Injetáveis</t>
        </is>
      </c>
      <c r="D22" t="inlineStr">
        <is>
          <t>Caixa</t>
        </is>
      </c>
      <c r="E22" s="9" t="n">
        <v>10</v>
      </c>
      <c r="F22" s="10" t="n"/>
      <c r="G22" t="inlineStr">
        <is>
          <t>IM</t>
        </is>
      </c>
      <c r="H22" t="inlineStr">
        <is>
          <t>SIM</t>
        </is>
      </c>
      <c r="I22" t="inlineStr">
        <is>
          <t>SIM</t>
        </is>
      </c>
    </row>
    <row r="23">
      <c r="A23" t="inlineStr">
        <is>
          <t>JDO-020-EV-ALFA-LIPOICO-300</t>
        </is>
      </c>
      <c r="B23" t="inlineStr">
        <is>
          <t>ALFA LIPOICO 300</t>
        </is>
      </c>
      <c r="C23" t="inlineStr">
        <is>
          <t>Injetáveis</t>
        </is>
      </c>
      <c r="D23" t="inlineStr">
        <is>
          <t>Caixa</t>
        </is>
      </c>
      <c r="E23" s="9" t="n">
        <v>10</v>
      </c>
      <c r="F23" s="10" t="n"/>
      <c r="G23" t="inlineStr">
        <is>
          <t>EV</t>
        </is>
      </c>
      <c r="H23" t="inlineStr">
        <is>
          <t>SIM</t>
        </is>
      </c>
      <c r="I23" t="inlineStr">
        <is>
          <t>SIM</t>
        </is>
      </c>
      <c r="J23" t="inlineStr">
        <is>
          <t>CONFIRMADO; SKU RESTRINGE EV</t>
        </is>
      </c>
    </row>
    <row r="24">
      <c r="A24" t="inlineStr">
        <is>
          <t>JDO-021-EV-ALFA-LIPOICO-600</t>
        </is>
      </c>
      <c r="B24" t="inlineStr">
        <is>
          <t>Ácido Alfa-lipoico 600 mg/30 mL EV</t>
        </is>
      </c>
      <c r="C24" t="inlineStr">
        <is>
          <t>Injetáveis</t>
        </is>
      </c>
      <c r="D24" t="inlineStr">
        <is>
          <t>Caixa</t>
        </is>
      </c>
      <c r="E24" s="9" t="n">
        <v>30</v>
      </c>
      <c r="F24" s="10" t="n">
        <v>770</v>
      </c>
      <c r="G24" t="inlineStr">
        <is>
          <t>EV</t>
        </is>
      </c>
      <c r="H24" t="inlineStr">
        <is>
          <t>SIM</t>
        </is>
      </c>
      <c r="I24" t="inlineStr">
        <is>
          <t>SIM</t>
        </is>
      </c>
    </row>
    <row r="25">
      <c r="A25" t="inlineStr">
        <is>
          <t>JDO-022-EV-ANTI-INFLAMATORIO-E-ANTIOXID</t>
        </is>
      </c>
      <c r="B25" t="inlineStr">
        <is>
          <t>Anti-inflamatório e Antioxidante — Protocolo EV 1.5</t>
        </is>
      </c>
      <c r="C25" t="inlineStr">
        <is>
          <t>Injetáveis</t>
        </is>
      </c>
      <c r="D25" t="inlineStr">
        <is>
          <t>Caixa</t>
        </is>
      </c>
      <c r="E25" s="9" t="n">
        <v>20</v>
      </c>
      <c r="F25" s="10" t="n"/>
      <c r="G25" t="inlineStr">
        <is>
          <t>EV</t>
        </is>
      </c>
      <c r="H25" t="inlineStr">
        <is>
          <t>SIM</t>
        </is>
      </c>
      <c r="I25" t="inlineStr">
        <is>
          <t>SIM</t>
        </is>
      </c>
    </row>
    <row r="26">
      <c r="A26" t="inlineStr">
        <is>
          <t>JDO-023-EV-COGNICAO-E-MEMORIA-PLUS</t>
        </is>
      </c>
      <c r="B26" t="inlineStr">
        <is>
          <t>Cognição e Memória Plus — Protocolo EV 3.10</t>
        </is>
      </c>
      <c r="C26" t="inlineStr">
        <is>
          <t>Injetáveis</t>
        </is>
      </c>
      <c r="D26" t="inlineStr">
        <is>
          <t>Kit</t>
        </is>
      </c>
      <c r="E26" s="9" t="n">
        <v>10</v>
      </c>
      <c r="F26" s="10" t="n">
        <v>750</v>
      </c>
      <c r="G26" t="inlineStr">
        <is>
          <t>EV</t>
        </is>
      </c>
      <c r="H26" t="inlineStr">
        <is>
          <t>SIM</t>
        </is>
      </c>
      <c r="I26" t="inlineStr">
        <is>
          <t>SIM</t>
        </is>
      </c>
    </row>
    <row r="27">
      <c r="A27" t="inlineStr">
        <is>
          <t>JDO-024-EV-DISBIOSE</t>
        </is>
      </c>
      <c r="B27" t="inlineStr">
        <is>
          <t>DISBIOSE</t>
        </is>
      </c>
      <c r="C27" t="inlineStr">
        <is>
          <t>Injetáveis</t>
        </is>
      </c>
      <c r="D27" t="inlineStr">
        <is>
          <t>Kit</t>
        </is>
      </c>
      <c r="E27" s="9" t="n">
        <v>10</v>
      </c>
      <c r="F27" s="10" t="n">
        <v>700</v>
      </c>
      <c r="G27" t="inlineStr">
        <is>
          <t>EV</t>
        </is>
      </c>
      <c r="H27" t="inlineStr">
        <is>
          <t>SIM</t>
        </is>
      </c>
      <c r="I27" t="inlineStr">
        <is>
          <t>SIM</t>
        </is>
      </c>
      <c r="J27" t="inlineStr">
        <is>
          <t>CONFIRMAR FORNECEDOR/RÓTULO</t>
        </is>
      </c>
    </row>
    <row r="28">
      <c r="A28" t="inlineStr">
        <is>
          <t>JDO-025-EV-ESTEATOSE-HEPATICA</t>
        </is>
      </c>
      <c r="B28" t="inlineStr">
        <is>
          <t>ESTEATOSE HEPÁTICA</t>
        </is>
      </c>
      <c r="C28" t="inlineStr">
        <is>
          <t>Injetáveis</t>
        </is>
      </c>
      <c r="D28" t="inlineStr">
        <is>
          <t>Kit</t>
        </is>
      </c>
      <c r="E28" s="9" t="n">
        <v>20</v>
      </c>
      <c r="F28" s="10" t="n">
        <v>750</v>
      </c>
      <c r="G28" t="inlineStr">
        <is>
          <t>EV</t>
        </is>
      </c>
      <c r="H28" t="inlineStr">
        <is>
          <t>SIM</t>
        </is>
      </c>
      <c r="I28" t="inlineStr">
        <is>
          <t>SIM</t>
        </is>
      </c>
      <c r="J28" t="inlineStr">
        <is>
          <t>CONFIRMAR FORNECEDOR/RÓTULO</t>
        </is>
      </c>
    </row>
    <row r="29">
      <c r="A29" t="inlineStr">
        <is>
          <t>JDO-026-EV-FADIGA-INDISPOSICAO</t>
        </is>
      </c>
      <c r="B29" t="inlineStr">
        <is>
          <t>Fadiga/Indisposição — Protocolo EV 2.1</t>
        </is>
      </c>
      <c r="C29" t="inlineStr">
        <is>
          <t>Injetáveis</t>
        </is>
      </c>
      <c r="D29" t="inlineStr">
        <is>
          <t>Kit</t>
        </is>
      </c>
      <c r="E29" s="9" t="n">
        <v>20</v>
      </c>
      <c r="F29" s="10" t="n"/>
      <c r="G29" t="inlineStr">
        <is>
          <t>EV</t>
        </is>
      </c>
      <c r="H29" t="inlineStr">
        <is>
          <t>SIM</t>
        </is>
      </c>
      <c r="I29" t="inlineStr">
        <is>
          <t>SIM</t>
        </is>
      </c>
    </row>
    <row r="30">
      <c r="A30" t="inlineStr">
        <is>
          <t>JDO-027-EV-FADIGA-MUSCULAR-E-HIPERTROFI</t>
        </is>
      </c>
      <c r="B30" t="inlineStr">
        <is>
          <t>FADIGA MUSCULAR E HIPERTROFIA</t>
        </is>
      </c>
      <c r="C30" t="inlineStr">
        <is>
          <t>Injetáveis</t>
        </is>
      </c>
      <c r="D30" t="inlineStr">
        <is>
          <t>Kit</t>
        </is>
      </c>
      <c r="E30" s="9" t="n">
        <v>20</v>
      </c>
      <c r="F30" s="10" t="n">
        <v>750</v>
      </c>
      <c r="G30" t="inlineStr">
        <is>
          <t>EV</t>
        </is>
      </c>
      <c r="H30" t="inlineStr">
        <is>
          <t>SIM</t>
        </is>
      </c>
      <c r="I30" t="inlineStr">
        <is>
          <t>SIM</t>
        </is>
      </c>
      <c r="J30" t="inlineStr">
        <is>
          <t>CONFIRMAR RÓTULO</t>
        </is>
      </c>
    </row>
    <row r="31">
      <c r="A31" t="inlineStr">
        <is>
          <t>JDO-028-EV-FERRO</t>
        </is>
      </c>
      <c r="B31" t="inlineStr">
        <is>
          <t>FERRO</t>
        </is>
      </c>
      <c r="C31" t="inlineStr">
        <is>
          <t>Injetáveis</t>
        </is>
      </c>
      <c r="D31" t="inlineStr">
        <is>
          <t>Ampola</t>
        </is>
      </c>
      <c r="E31" s="9" t="n">
        <v>10</v>
      </c>
      <c r="F31" s="10" t="n">
        <v>270</v>
      </c>
      <c r="G31" t="inlineStr">
        <is>
          <t>EV</t>
        </is>
      </c>
      <c r="H31" t="inlineStr">
        <is>
          <t>SIM</t>
        </is>
      </c>
      <c r="I31" t="inlineStr">
        <is>
          <t>SIM</t>
        </is>
      </c>
      <c r="J31" t="inlineStr">
        <is>
          <t>CONFIRMAR RÓTULO</t>
        </is>
      </c>
    </row>
    <row r="32">
      <c r="A32" t="inlineStr">
        <is>
          <t>JDO-029-EV-IMUNIDADE</t>
        </is>
      </c>
      <c r="B32" t="inlineStr">
        <is>
          <t>Imunidade — Protocolo EV 1.1</t>
        </is>
      </c>
      <c r="C32" t="inlineStr">
        <is>
          <t>Injetáveis</t>
        </is>
      </c>
      <c r="D32" t="inlineStr">
        <is>
          <t>Kit</t>
        </is>
      </c>
      <c r="E32" s="9" t="n">
        <v>10</v>
      </c>
      <c r="F32" s="10" t="n">
        <v>700</v>
      </c>
      <c r="G32" t="inlineStr">
        <is>
          <t>EV</t>
        </is>
      </c>
      <c r="H32" t="inlineStr">
        <is>
          <t>SIM</t>
        </is>
      </c>
      <c r="I32" t="inlineStr">
        <is>
          <t>SIM</t>
        </is>
      </c>
    </row>
    <row r="33">
      <c r="A33" t="inlineStr">
        <is>
          <t>JDO-030-EV-L-BAIBA</t>
        </is>
      </c>
      <c r="B33" t="inlineStr">
        <is>
          <t>L BAIBA</t>
        </is>
      </c>
      <c r="C33" t="inlineStr">
        <is>
          <t>Injetáveis</t>
        </is>
      </c>
      <c r="D33" t="inlineStr">
        <is>
          <t>Kit</t>
        </is>
      </c>
      <c r="E33" s="9" t="n">
        <v>20</v>
      </c>
      <c r="F33" s="10" t="n"/>
      <c r="G33" t="inlineStr">
        <is>
          <t>EV</t>
        </is>
      </c>
      <c r="H33" t="inlineStr">
        <is>
          <t>SIM</t>
        </is>
      </c>
      <c r="I33" t="inlineStr">
        <is>
          <t>SIM</t>
        </is>
      </c>
      <c r="J33" t="inlineStr">
        <is>
          <t>CONFIRMADO; SKU RESTRINGE EV</t>
        </is>
      </c>
    </row>
    <row r="34">
      <c r="A34" t="inlineStr">
        <is>
          <t>JDO-031-EV-L-GLUTATION</t>
        </is>
      </c>
      <c r="B34" t="inlineStr">
        <is>
          <t>L GLUTATION</t>
        </is>
      </c>
      <c r="C34" t="inlineStr">
        <is>
          <t>Injetáveis</t>
        </is>
      </c>
      <c r="D34" t="inlineStr">
        <is>
          <t>Caixa</t>
        </is>
      </c>
      <c r="E34" s="9" t="n">
        <v>20</v>
      </c>
      <c r="F34" s="10" t="n"/>
      <c r="G34" t="inlineStr">
        <is>
          <t>EV</t>
        </is>
      </c>
      <c r="H34" t="inlineStr">
        <is>
          <t>SIM</t>
        </is>
      </c>
      <c r="I34" t="inlineStr">
        <is>
          <t>SIM</t>
        </is>
      </c>
      <c r="J34" t="inlineStr">
        <is>
          <t>CONFIRMADO; SKU RESTRINGE EV</t>
        </is>
      </c>
    </row>
    <row r="35">
      <c r="A35" t="inlineStr">
        <is>
          <t>JDO-032-Outra-LIDOCAINA</t>
        </is>
      </c>
      <c r="B35" t="inlineStr">
        <is>
          <t>LIDOCAÍNA</t>
        </is>
      </c>
      <c r="C35" t="inlineStr">
        <is>
          <t>Injetáveis</t>
        </is>
      </c>
      <c r="D35" t="inlineStr">
        <is>
          <t>Caixa</t>
        </is>
      </c>
      <c r="E35" s="9" t="n">
        <v>50</v>
      </c>
      <c r="F35" s="10" t="n"/>
      <c r="G35" t="inlineStr">
        <is>
          <t>Outra</t>
        </is>
      </c>
      <c r="H35" t="inlineStr">
        <is>
          <t>SIM</t>
        </is>
      </c>
      <c r="I35" t="inlineStr">
        <is>
          <t>SIM</t>
        </is>
      </c>
      <c r="J35" t="inlineStr">
        <is>
          <t>CONFIRMAR RÓTULO</t>
        </is>
      </c>
    </row>
    <row r="36">
      <c r="A36" t="inlineStr">
        <is>
          <t>JDO-033-EV-RESISTENCIA-INSULINICA</t>
        </is>
      </c>
      <c r="B36" t="inlineStr">
        <is>
          <t>Resistência Insulínica — Protocolo EV 8.3</t>
        </is>
      </c>
      <c r="C36" t="inlineStr">
        <is>
          <t>Injetáveis</t>
        </is>
      </c>
      <c r="D36" t="inlineStr">
        <is>
          <t>Kit</t>
        </is>
      </c>
      <c r="E36" s="9" t="n">
        <v>20</v>
      </c>
      <c r="F36" s="10" t="n">
        <v>750</v>
      </c>
      <c r="G36" t="inlineStr">
        <is>
          <t>EV</t>
        </is>
      </c>
      <c r="H36" t="inlineStr">
        <is>
          <t>SIM</t>
        </is>
      </c>
      <c r="I36" t="inlineStr">
        <is>
          <t>SIM</t>
        </is>
      </c>
    </row>
    <row r="37">
      <c r="E37" s="9" t="n"/>
      <c r="F37" s="10" t="n"/>
      <c r="H37" t="inlineStr">
        <is>
          <t>SIM</t>
        </is>
      </c>
      <c r="I37" t="inlineStr">
        <is>
          <t>SIM</t>
        </is>
      </c>
    </row>
    <row r="38">
      <c r="E38" s="9" t="n"/>
      <c r="F38" s="10" t="n"/>
      <c r="H38" t="inlineStr">
        <is>
          <t>SIM</t>
        </is>
      </c>
      <c r="I38" t="inlineStr">
        <is>
          <t>SIM</t>
        </is>
      </c>
    </row>
    <row r="39">
      <c r="E39" s="9" t="n"/>
      <c r="F39" s="10" t="n"/>
      <c r="H39" t="inlineStr">
        <is>
          <t>SIM</t>
        </is>
      </c>
      <c r="I39" t="inlineStr">
        <is>
          <t>SIM</t>
        </is>
      </c>
    </row>
    <row r="40">
      <c r="E40" s="9" t="n"/>
      <c r="F40" s="10" t="n"/>
      <c r="H40" t="inlineStr">
        <is>
          <t>SIM</t>
        </is>
      </c>
      <c r="I40" t="inlineStr">
        <is>
          <t>SIM</t>
        </is>
      </c>
    </row>
    <row r="41">
      <c r="E41" s="9" t="n"/>
      <c r="F41" s="10" t="n"/>
      <c r="H41" t="inlineStr">
        <is>
          <t>SIM</t>
        </is>
      </c>
      <c r="I41" t="inlineStr">
        <is>
          <t>SIM</t>
        </is>
      </c>
    </row>
    <row r="42">
      <c r="E42" s="9" t="n"/>
      <c r="F42" s="10" t="n"/>
      <c r="H42" t="inlineStr">
        <is>
          <t>SIM</t>
        </is>
      </c>
      <c r="I42" t="inlineStr">
        <is>
          <t>SIM</t>
        </is>
      </c>
    </row>
    <row r="43">
      <c r="E43" s="9" t="n"/>
      <c r="F43" s="10" t="n"/>
      <c r="H43" t="inlineStr">
        <is>
          <t>SIM</t>
        </is>
      </c>
      <c r="I43" t="inlineStr">
        <is>
          <t>SIM</t>
        </is>
      </c>
    </row>
    <row r="44">
      <c r="E44" s="9" t="n"/>
      <c r="F44" s="10" t="n"/>
      <c r="H44" t="inlineStr">
        <is>
          <t>SIM</t>
        </is>
      </c>
      <c r="I44" t="inlineStr">
        <is>
          <t>SIM</t>
        </is>
      </c>
    </row>
    <row r="45">
      <c r="E45" s="9" t="n"/>
      <c r="F45" s="10" t="n"/>
      <c r="H45" t="inlineStr">
        <is>
          <t>SIM</t>
        </is>
      </c>
      <c r="I45" t="inlineStr">
        <is>
          <t>SIM</t>
        </is>
      </c>
    </row>
    <row r="46">
      <c r="E46" s="9" t="n"/>
      <c r="F46" s="10" t="n"/>
      <c r="H46" t="inlineStr">
        <is>
          <t>SIM</t>
        </is>
      </c>
      <c r="I46" t="inlineStr">
        <is>
          <t>SIM</t>
        </is>
      </c>
    </row>
    <row r="47">
      <c r="E47" s="9" t="n"/>
      <c r="F47" s="10" t="n"/>
      <c r="H47" t="inlineStr">
        <is>
          <t>SIM</t>
        </is>
      </c>
      <c r="I47" t="inlineStr">
        <is>
          <t>SIM</t>
        </is>
      </c>
    </row>
    <row r="48">
      <c r="E48" s="9" t="n"/>
      <c r="F48" s="10" t="n"/>
      <c r="H48" t="inlineStr">
        <is>
          <t>SIM</t>
        </is>
      </c>
      <c r="I48" t="inlineStr">
        <is>
          <t>SIM</t>
        </is>
      </c>
    </row>
    <row r="49">
      <c r="E49" s="9" t="n"/>
      <c r="F49" s="10" t="n"/>
      <c r="H49" t="inlineStr">
        <is>
          <t>SIM</t>
        </is>
      </c>
      <c r="I49" t="inlineStr">
        <is>
          <t>SIM</t>
        </is>
      </c>
    </row>
    <row r="50">
      <c r="E50" s="9" t="n"/>
      <c r="F50" s="10" t="n"/>
      <c r="H50" t="inlineStr">
        <is>
          <t>SIM</t>
        </is>
      </c>
      <c r="I50" t="inlineStr">
        <is>
          <t>SIM</t>
        </is>
      </c>
    </row>
    <row r="51">
      <c r="E51" s="9" t="n"/>
      <c r="F51" s="10" t="n"/>
      <c r="H51" t="inlineStr">
        <is>
          <t>SIM</t>
        </is>
      </c>
      <c r="I51" t="inlineStr">
        <is>
          <t>SIM</t>
        </is>
      </c>
    </row>
    <row r="52">
      <c r="E52" s="9" t="n"/>
      <c r="F52" s="10" t="n"/>
      <c r="H52" t="inlineStr">
        <is>
          <t>SIM</t>
        </is>
      </c>
      <c r="I52" t="inlineStr">
        <is>
          <t>SIM</t>
        </is>
      </c>
    </row>
    <row r="53">
      <c r="E53" s="9" t="n"/>
      <c r="F53" s="10" t="n"/>
      <c r="H53" t="inlineStr">
        <is>
          <t>SIM</t>
        </is>
      </c>
      <c r="I53" t="inlineStr">
        <is>
          <t>SIM</t>
        </is>
      </c>
    </row>
    <row r="54">
      <c r="E54" s="9" t="n"/>
      <c r="F54" s="10" t="n"/>
      <c r="H54" t="inlineStr">
        <is>
          <t>SIM</t>
        </is>
      </c>
      <c r="I54" t="inlineStr">
        <is>
          <t>SIM</t>
        </is>
      </c>
    </row>
    <row r="55">
      <c r="E55" s="9" t="n"/>
      <c r="F55" s="10" t="n"/>
      <c r="H55" t="inlineStr">
        <is>
          <t>SIM</t>
        </is>
      </c>
      <c r="I55" t="inlineStr">
        <is>
          <t>SIM</t>
        </is>
      </c>
    </row>
    <row r="56">
      <c r="E56" s="9" t="n"/>
      <c r="F56" s="10" t="n"/>
      <c r="H56" t="inlineStr">
        <is>
          <t>SIM</t>
        </is>
      </c>
      <c r="I56" t="inlineStr">
        <is>
          <t>SIM</t>
        </is>
      </c>
    </row>
    <row r="57">
      <c r="E57" s="9" t="n"/>
      <c r="F57" s="10" t="n"/>
      <c r="H57" t="inlineStr">
        <is>
          <t>SIM</t>
        </is>
      </c>
      <c r="I57" t="inlineStr">
        <is>
          <t>SIM</t>
        </is>
      </c>
    </row>
    <row r="58">
      <c r="E58" s="9" t="n"/>
      <c r="F58" s="10" t="n"/>
      <c r="H58" t="inlineStr">
        <is>
          <t>SIM</t>
        </is>
      </c>
      <c r="I58" t="inlineStr">
        <is>
          <t>SIM</t>
        </is>
      </c>
    </row>
    <row r="59">
      <c r="E59" s="9" t="n"/>
      <c r="F59" s="10" t="n"/>
      <c r="H59" t="inlineStr">
        <is>
          <t>SIM</t>
        </is>
      </c>
      <c r="I59" t="inlineStr">
        <is>
          <t>SIM</t>
        </is>
      </c>
    </row>
    <row r="60">
      <c r="E60" s="9" t="n"/>
      <c r="F60" s="10" t="n"/>
      <c r="H60" t="inlineStr">
        <is>
          <t>SIM</t>
        </is>
      </c>
      <c r="I60" t="inlineStr">
        <is>
          <t>SIM</t>
        </is>
      </c>
    </row>
    <row r="61">
      <c r="E61" s="9" t="n"/>
      <c r="F61" s="10" t="n"/>
      <c r="H61" t="inlineStr">
        <is>
          <t>SIM</t>
        </is>
      </c>
      <c r="I61" t="inlineStr">
        <is>
          <t>SIM</t>
        </is>
      </c>
    </row>
    <row r="62">
      <c r="E62" s="9" t="n"/>
      <c r="F62" s="10" t="n"/>
      <c r="H62" t="inlineStr">
        <is>
          <t>SIM</t>
        </is>
      </c>
      <c r="I62" t="inlineStr">
        <is>
          <t>SIM</t>
        </is>
      </c>
    </row>
    <row r="63">
      <c r="E63" s="9" t="n"/>
      <c r="F63" s="10" t="n"/>
      <c r="H63" t="inlineStr">
        <is>
          <t>SIM</t>
        </is>
      </c>
      <c r="I63" t="inlineStr">
        <is>
          <t>SIM</t>
        </is>
      </c>
    </row>
    <row r="64">
      <c r="E64" s="9" t="n"/>
      <c r="F64" s="10" t="n"/>
      <c r="H64" t="inlineStr">
        <is>
          <t>SIM</t>
        </is>
      </c>
      <c r="I64" t="inlineStr">
        <is>
          <t>SIM</t>
        </is>
      </c>
    </row>
    <row r="65">
      <c r="E65" s="9" t="n"/>
      <c r="F65" s="10" t="n"/>
      <c r="H65" t="inlineStr">
        <is>
          <t>SIM</t>
        </is>
      </c>
      <c r="I65" t="inlineStr">
        <is>
          <t>SIM</t>
        </is>
      </c>
    </row>
    <row r="66">
      <c r="E66" s="9" t="n"/>
      <c r="F66" s="10" t="n"/>
      <c r="H66" t="inlineStr">
        <is>
          <t>SIM</t>
        </is>
      </c>
      <c r="I66" t="inlineStr">
        <is>
          <t>SIM</t>
        </is>
      </c>
    </row>
    <row r="67">
      <c r="E67" s="9" t="n"/>
      <c r="F67" s="10" t="n"/>
      <c r="H67" t="inlineStr">
        <is>
          <t>SIM</t>
        </is>
      </c>
      <c r="I67" t="inlineStr">
        <is>
          <t>SIM</t>
        </is>
      </c>
    </row>
    <row r="68">
      <c r="E68" s="9" t="n"/>
      <c r="F68" s="10" t="n"/>
      <c r="H68" t="inlineStr">
        <is>
          <t>SIM</t>
        </is>
      </c>
      <c r="I68" t="inlineStr">
        <is>
          <t>SIM</t>
        </is>
      </c>
    </row>
    <row r="69">
      <c r="E69" s="9" t="n"/>
      <c r="F69" s="10" t="n"/>
      <c r="H69" t="inlineStr">
        <is>
          <t>SIM</t>
        </is>
      </c>
      <c r="I69" t="inlineStr">
        <is>
          <t>SIM</t>
        </is>
      </c>
    </row>
    <row r="70">
      <c r="E70" s="9" t="n"/>
      <c r="F70" s="10" t="n"/>
      <c r="H70" t="inlineStr">
        <is>
          <t>SIM</t>
        </is>
      </c>
      <c r="I70" t="inlineStr">
        <is>
          <t>SIM</t>
        </is>
      </c>
    </row>
    <row r="71">
      <c r="E71" s="9" t="n"/>
      <c r="F71" s="10" t="n"/>
      <c r="H71" t="inlineStr">
        <is>
          <t>SIM</t>
        </is>
      </c>
      <c r="I71" t="inlineStr">
        <is>
          <t>SIM</t>
        </is>
      </c>
    </row>
    <row r="72">
      <c r="E72" s="9" t="n"/>
      <c r="F72" s="10" t="n"/>
      <c r="H72" t="inlineStr">
        <is>
          <t>SIM</t>
        </is>
      </c>
      <c r="I72" t="inlineStr">
        <is>
          <t>SIM</t>
        </is>
      </c>
    </row>
    <row r="73">
      <c r="E73" s="9" t="n"/>
      <c r="F73" s="10" t="n"/>
      <c r="H73" t="inlineStr">
        <is>
          <t>SIM</t>
        </is>
      </c>
      <c r="I73" t="inlineStr">
        <is>
          <t>SIM</t>
        </is>
      </c>
    </row>
    <row r="74">
      <c r="E74" s="9" t="n"/>
      <c r="F74" s="10" t="n"/>
      <c r="H74" t="inlineStr">
        <is>
          <t>SIM</t>
        </is>
      </c>
      <c r="I74" t="inlineStr">
        <is>
          <t>SIM</t>
        </is>
      </c>
    </row>
    <row r="75">
      <c r="E75" s="9" t="n"/>
      <c r="F75" s="10" t="n"/>
      <c r="H75" t="inlineStr">
        <is>
          <t>SIM</t>
        </is>
      </c>
      <c r="I75" t="inlineStr">
        <is>
          <t>SIM</t>
        </is>
      </c>
    </row>
    <row r="76">
      <c r="E76" s="9" t="n"/>
      <c r="F76" s="10" t="n"/>
      <c r="H76" t="inlineStr">
        <is>
          <t>SIM</t>
        </is>
      </c>
      <c r="I76" t="inlineStr">
        <is>
          <t>SIM</t>
        </is>
      </c>
    </row>
    <row r="77">
      <c r="E77" s="9" t="n"/>
      <c r="F77" s="10" t="n"/>
      <c r="H77" t="inlineStr">
        <is>
          <t>SIM</t>
        </is>
      </c>
      <c r="I77" t="inlineStr">
        <is>
          <t>SIM</t>
        </is>
      </c>
    </row>
    <row r="78">
      <c r="E78" s="9" t="n"/>
      <c r="F78" s="10" t="n"/>
      <c r="H78" t="inlineStr">
        <is>
          <t>SIM</t>
        </is>
      </c>
      <c r="I78" t="inlineStr">
        <is>
          <t>SIM</t>
        </is>
      </c>
    </row>
    <row r="79">
      <c r="E79" s="9" t="n"/>
      <c r="F79" s="10" t="n"/>
      <c r="H79" t="inlineStr">
        <is>
          <t>SIM</t>
        </is>
      </c>
      <c r="I79" t="inlineStr">
        <is>
          <t>SIM</t>
        </is>
      </c>
    </row>
    <row r="80">
      <c r="E80" s="9" t="n"/>
      <c r="F80" s="10" t="n"/>
      <c r="H80" t="inlineStr">
        <is>
          <t>SIM</t>
        </is>
      </c>
      <c r="I80" t="inlineStr">
        <is>
          <t>SIM</t>
        </is>
      </c>
    </row>
    <row r="81">
      <c r="E81" s="9" t="n"/>
      <c r="F81" s="10" t="n"/>
      <c r="H81" t="inlineStr">
        <is>
          <t>SIM</t>
        </is>
      </c>
      <c r="I81" t="inlineStr">
        <is>
          <t>SIM</t>
        </is>
      </c>
    </row>
    <row r="82">
      <c r="E82" s="9" t="n"/>
      <c r="F82" s="10" t="n"/>
      <c r="H82" t="inlineStr">
        <is>
          <t>SIM</t>
        </is>
      </c>
      <c r="I82" t="inlineStr">
        <is>
          <t>SIM</t>
        </is>
      </c>
    </row>
    <row r="83">
      <c r="E83" s="9" t="n"/>
      <c r="F83" s="10" t="n"/>
      <c r="H83" t="inlineStr">
        <is>
          <t>SIM</t>
        </is>
      </c>
      <c r="I83" t="inlineStr">
        <is>
          <t>SIM</t>
        </is>
      </c>
    </row>
    <row r="84">
      <c r="E84" s="9" t="n"/>
      <c r="F84" s="10" t="n"/>
      <c r="H84" t="inlineStr">
        <is>
          <t>SIM</t>
        </is>
      </c>
      <c r="I84" t="inlineStr">
        <is>
          <t>SIM</t>
        </is>
      </c>
    </row>
    <row r="85">
      <c r="E85" s="9" t="n"/>
      <c r="F85" s="10" t="n"/>
      <c r="H85" t="inlineStr">
        <is>
          <t>SIM</t>
        </is>
      </c>
      <c r="I85" t="inlineStr">
        <is>
          <t>SIM</t>
        </is>
      </c>
    </row>
    <row r="86">
      <c r="E86" s="9" t="n"/>
      <c r="F86" s="10" t="n"/>
      <c r="H86" t="inlineStr">
        <is>
          <t>SIM</t>
        </is>
      </c>
      <c r="I86" t="inlineStr">
        <is>
          <t>SIM</t>
        </is>
      </c>
    </row>
    <row r="87">
      <c r="E87" s="9" t="n"/>
      <c r="F87" s="10" t="n"/>
      <c r="H87" t="inlineStr">
        <is>
          <t>SIM</t>
        </is>
      </c>
      <c r="I87" t="inlineStr">
        <is>
          <t>SIM</t>
        </is>
      </c>
    </row>
    <row r="88">
      <c r="E88" s="9" t="n"/>
      <c r="F88" s="10" t="n"/>
      <c r="H88" t="inlineStr">
        <is>
          <t>SIM</t>
        </is>
      </c>
      <c r="I88" t="inlineStr">
        <is>
          <t>SIM</t>
        </is>
      </c>
    </row>
    <row r="89">
      <c r="E89" s="9" t="n"/>
      <c r="F89" s="10" t="n"/>
      <c r="H89" t="inlineStr">
        <is>
          <t>SIM</t>
        </is>
      </c>
      <c r="I89" t="inlineStr">
        <is>
          <t>SIM</t>
        </is>
      </c>
    </row>
    <row r="90">
      <c r="E90" s="9" t="n"/>
      <c r="F90" s="10" t="n"/>
      <c r="H90" t="inlineStr">
        <is>
          <t>SIM</t>
        </is>
      </c>
      <c r="I90" t="inlineStr">
        <is>
          <t>SIM</t>
        </is>
      </c>
    </row>
    <row r="91">
      <c r="E91" s="9" t="n"/>
      <c r="F91" s="10" t="n"/>
      <c r="H91" t="inlineStr">
        <is>
          <t>SIM</t>
        </is>
      </c>
      <c r="I91" t="inlineStr">
        <is>
          <t>SIM</t>
        </is>
      </c>
    </row>
    <row r="92">
      <c r="E92" s="9" t="n"/>
      <c r="F92" s="10" t="n"/>
      <c r="H92" t="inlineStr">
        <is>
          <t>SIM</t>
        </is>
      </c>
      <c r="I92" t="inlineStr">
        <is>
          <t>SIM</t>
        </is>
      </c>
    </row>
    <row r="93">
      <c r="E93" s="9" t="n"/>
      <c r="F93" s="10" t="n"/>
      <c r="H93" t="inlineStr">
        <is>
          <t>SIM</t>
        </is>
      </c>
      <c r="I93" t="inlineStr">
        <is>
          <t>SIM</t>
        </is>
      </c>
    </row>
    <row r="94">
      <c r="E94" s="9" t="n"/>
      <c r="F94" s="10" t="n"/>
      <c r="H94" t="inlineStr">
        <is>
          <t>SIM</t>
        </is>
      </c>
      <c r="I94" t="inlineStr">
        <is>
          <t>SIM</t>
        </is>
      </c>
    </row>
    <row r="95">
      <c r="E95" s="9" t="n"/>
      <c r="F95" s="10" t="n"/>
      <c r="H95" t="inlineStr">
        <is>
          <t>SIM</t>
        </is>
      </c>
      <c r="I95" t="inlineStr">
        <is>
          <t>SIM</t>
        </is>
      </c>
    </row>
    <row r="96">
      <c r="E96" s="9" t="n"/>
      <c r="F96" s="10" t="n"/>
      <c r="H96" t="inlineStr">
        <is>
          <t>SIM</t>
        </is>
      </c>
      <c r="I96" t="inlineStr">
        <is>
          <t>SIM</t>
        </is>
      </c>
    </row>
    <row r="97">
      <c r="E97" s="9" t="n"/>
      <c r="F97" s="10" t="n"/>
      <c r="H97" t="inlineStr">
        <is>
          <t>SIM</t>
        </is>
      </c>
      <c r="I97" t="inlineStr">
        <is>
          <t>SIM</t>
        </is>
      </c>
    </row>
    <row r="98">
      <c r="E98" s="9" t="n"/>
      <c r="F98" s="10" t="n"/>
      <c r="H98" t="inlineStr">
        <is>
          <t>SIM</t>
        </is>
      </c>
      <c r="I98" t="inlineStr">
        <is>
          <t>SIM</t>
        </is>
      </c>
    </row>
    <row r="99">
      <c r="E99" s="9" t="n"/>
      <c r="F99" s="10" t="n"/>
      <c r="H99" t="inlineStr">
        <is>
          <t>SIM</t>
        </is>
      </c>
      <c r="I99" t="inlineStr">
        <is>
          <t>SIM</t>
        </is>
      </c>
    </row>
    <row r="100">
      <c r="E100" s="9" t="n"/>
      <c r="F100" s="10" t="n"/>
      <c r="H100" t="inlineStr">
        <is>
          <t>SIM</t>
        </is>
      </c>
      <c r="I100" t="inlineStr">
        <is>
          <t>SIM</t>
        </is>
      </c>
    </row>
    <row r="101">
      <c r="E101" s="9" t="n"/>
      <c r="F101" s="10" t="n"/>
      <c r="H101" t="inlineStr">
        <is>
          <t>SIM</t>
        </is>
      </c>
      <c r="I101" t="inlineStr">
        <is>
          <t>SIM</t>
        </is>
      </c>
    </row>
    <row r="102">
      <c r="E102" s="9" t="n"/>
      <c r="F102" s="10" t="n"/>
      <c r="H102" t="inlineStr">
        <is>
          <t>SIM</t>
        </is>
      </c>
      <c r="I102" t="inlineStr">
        <is>
          <t>SIM</t>
        </is>
      </c>
    </row>
    <row r="103">
      <c r="E103" s="9" t="n"/>
      <c r="F103" s="10" t="n"/>
      <c r="H103" t="inlineStr">
        <is>
          <t>SIM</t>
        </is>
      </c>
      <c r="I103" t="inlineStr">
        <is>
          <t>SIM</t>
        </is>
      </c>
    </row>
    <row r="104">
      <c r="E104" s="9" t="n"/>
      <c r="F104" s="10" t="n"/>
      <c r="H104" t="inlineStr">
        <is>
          <t>SIM</t>
        </is>
      </c>
      <c r="I104" t="inlineStr">
        <is>
          <t>SIM</t>
        </is>
      </c>
    </row>
    <row r="105">
      <c r="E105" s="9" t="n"/>
      <c r="F105" s="10" t="n"/>
      <c r="H105" t="inlineStr">
        <is>
          <t>SIM</t>
        </is>
      </c>
      <c r="I105" t="inlineStr">
        <is>
          <t>SIM</t>
        </is>
      </c>
    </row>
    <row r="106">
      <c r="E106" s="9" t="n"/>
      <c r="F106" s="10" t="n"/>
      <c r="H106" t="inlineStr">
        <is>
          <t>SIM</t>
        </is>
      </c>
      <c r="I106" t="inlineStr">
        <is>
          <t>SIM</t>
        </is>
      </c>
    </row>
    <row r="107">
      <c r="E107" s="9" t="n"/>
      <c r="F107" s="10" t="n"/>
      <c r="H107" t="inlineStr">
        <is>
          <t>SIM</t>
        </is>
      </c>
      <c r="I107" t="inlineStr">
        <is>
          <t>SIM</t>
        </is>
      </c>
    </row>
    <row r="108">
      <c r="E108" s="9" t="n"/>
      <c r="F108" s="10" t="n"/>
      <c r="H108" t="inlineStr">
        <is>
          <t>SIM</t>
        </is>
      </c>
      <c r="I108" t="inlineStr">
        <is>
          <t>SIM</t>
        </is>
      </c>
    </row>
    <row r="109">
      <c r="E109" s="9" t="n"/>
      <c r="F109" s="10" t="n"/>
      <c r="H109" t="inlineStr">
        <is>
          <t>SIM</t>
        </is>
      </c>
      <c r="I109" t="inlineStr">
        <is>
          <t>SIM</t>
        </is>
      </c>
    </row>
    <row r="110">
      <c r="E110" s="9" t="n"/>
      <c r="F110" s="10" t="n"/>
      <c r="H110" t="inlineStr">
        <is>
          <t>SIM</t>
        </is>
      </c>
      <c r="I110" t="inlineStr">
        <is>
          <t>SIM</t>
        </is>
      </c>
    </row>
    <row r="111">
      <c r="E111" s="9" t="n"/>
      <c r="F111" s="10" t="n"/>
      <c r="H111" t="inlineStr">
        <is>
          <t>SIM</t>
        </is>
      </c>
      <c r="I111" t="inlineStr">
        <is>
          <t>SIM</t>
        </is>
      </c>
    </row>
    <row r="112">
      <c r="E112" s="9" t="n"/>
      <c r="F112" s="10" t="n"/>
      <c r="H112" t="inlineStr">
        <is>
          <t>SIM</t>
        </is>
      </c>
      <c r="I112" t="inlineStr">
        <is>
          <t>SIM</t>
        </is>
      </c>
    </row>
    <row r="113">
      <c r="E113" s="9" t="n"/>
      <c r="F113" s="10" t="n"/>
      <c r="H113" t="inlineStr">
        <is>
          <t>SIM</t>
        </is>
      </c>
      <c r="I113" t="inlineStr">
        <is>
          <t>SIM</t>
        </is>
      </c>
    </row>
    <row r="114">
      <c r="E114" s="9" t="n"/>
      <c r="F114" s="10" t="n"/>
      <c r="H114" t="inlineStr">
        <is>
          <t>SIM</t>
        </is>
      </c>
      <c r="I114" t="inlineStr">
        <is>
          <t>SIM</t>
        </is>
      </c>
    </row>
    <row r="115">
      <c r="E115" s="9" t="n"/>
      <c r="F115" s="10" t="n"/>
      <c r="H115" t="inlineStr">
        <is>
          <t>SIM</t>
        </is>
      </c>
      <c r="I115" t="inlineStr">
        <is>
          <t>SIM</t>
        </is>
      </c>
    </row>
    <row r="116">
      <c r="E116" s="9" t="n"/>
      <c r="F116" s="10" t="n"/>
      <c r="H116" t="inlineStr">
        <is>
          <t>SIM</t>
        </is>
      </c>
      <c r="I116" t="inlineStr">
        <is>
          <t>SIM</t>
        </is>
      </c>
    </row>
    <row r="117">
      <c r="E117" s="9" t="n"/>
      <c r="F117" s="10" t="n"/>
      <c r="H117" t="inlineStr">
        <is>
          <t>SIM</t>
        </is>
      </c>
      <c r="I117" t="inlineStr">
        <is>
          <t>SIM</t>
        </is>
      </c>
    </row>
    <row r="118">
      <c r="E118" s="9" t="n"/>
      <c r="F118" s="10" t="n"/>
      <c r="H118" t="inlineStr">
        <is>
          <t>SIM</t>
        </is>
      </c>
      <c r="I118" t="inlineStr">
        <is>
          <t>SIM</t>
        </is>
      </c>
    </row>
    <row r="119">
      <c r="E119" s="9" t="n"/>
      <c r="F119" s="10" t="n"/>
      <c r="H119" t="inlineStr">
        <is>
          <t>SIM</t>
        </is>
      </c>
      <c r="I119" t="inlineStr">
        <is>
          <t>SIM</t>
        </is>
      </c>
    </row>
    <row r="120">
      <c r="E120" s="9" t="n"/>
      <c r="F120" s="10" t="n"/>
      <c r="H120" t="inlineStr">
        <is>
          <t>SIM</t>
        </is>
      </c>
      <c r="I120" t="inlineStr">
        <is>
          <t>SIM</t>
        </is>
      </c>
    </row>
    <row r="121">
      <c r="E121" s="9" t="n"/>
      <c r="F121" s="10" t="n"/>
      <c r="H121" t="inlineStr">
        <is>
          <t>SIM</t>
        </is>
      </c>
      <c r="I121" t="inlineStr">
        <is>
          <t>SIM</t>
        </is>
      </c>
    </row>
    <row r="122">
      <c r="E122" s="9" t="n"/>
      <c r="F122" s="10" t="n"/>
      <c r="H122" t="inlineStr">
        <is>
          <t>SIM</t>
        </is>
      </c>
      <c r="I122" t="inlineStr">
        <is>
          <t>SIM</t>
        </is>
      </c>
    </row>
    <row r="123">
      <c r="E123" s="9" t="n"/>
      <c r="F123" s="10" t="n"/>
      <c r="H123" t="inlineStr">
        <is>
          <t>SIM</t>
        </is>
      </c>
      <c r="I123" t="inlineStr">
        <is>
          <t>SIM</t>
        </is>
      </c>
    </row>
    <row r="124">
      <c r="E124" s="9" t="n"/>
      <c r="F124" s="10" t="n"/>
      <c r="H124" t="inlineStr">
        <is>
          <t>SIM</t>
        </is>
      </c>
      <c r="I124" t="inlineStr">
        <is>
          <t>SIM</t>
        </is>
      </c>
    </row>
    <row r="125">
      <c r="E125" s="9" t="n"/>
      <c r="F125" s="10" t="n"/>
      <c r="H125" t="inlineStr">
        <is>
          <t>SIM</t>
        </is>
      </c>
      <c r="I125" t="inlineStr">
        <is>
          <t>SIM</t>
        </is>
      </c>
    </row>
    <row r="126">
      <c r="E126" s="9" t="n"/>
      <c r="F126" s="10" t="n"/>
      <c r="H126" t="inlineStr">
        <is>
          <t>SIM</t>
        </is>
      </c>
      <c r="I126" t="inlineStr">
        <is>
          <t>SIM</t>
        </is>
      </c>
    </row>
    <row r="127">
      <c r="E127" s="9" t="n"/>
      <c r="F127" s="10" t="n"/>
      <c r="H127" t="inlineStr">
        <is>
          <t>SIM</t>
        </is>
      </c>
      <c r="I127" t="inlineStr">
        <is>
          <t>SIM</t>
        </is>
      </c>
    </row>
    <row r="128">
      <c r="E128" s="9" t="n"/>
      <c r="F128" s="10" t="n"/>
      <c r="H128" t="inlineStr">
        <is>
          <t>SIM</t>
        </is>
      </c>
      <c r="I128" t="inlineStr">
        <is>
          <t>SIM</t>
        </is>
      </c>
    </row>
    <row r="129">
      <c r="E129" s="9" t="n"/>
      <c r="F129" s="10" t="n"/>
      <c r="H129" t="inlineStr">
        <is>
          <t>SIM</t>
        </is>
      </c>
      <c r="I129" t="inlineStr">
        <is>
          <t>SIM</t>
        </is>
      </c>
    </row>
    <row r="130">
      <c r="E130" s="9" t="n"/>
      <c r="F130" s="10" t="n"/>
      <c r="H130" t="inlineStr">
        <is>
          <t>SIM</t>
        </is>
      </c>
      <c r="I130" t="inlineStr">
        <is>
          <t>SIM</t>
        </is>
      </c>
    </row>
    <row r="131">
      <c r="E131" s="9" t="n"/>
      <c r="F131" s="10" t="n"/>
      <c r="H131" t="inlineStr">
        <is>
          <t>SIM</t>
        </is>
      </c>
      <c r="I131" t="inlineStr">
        <is>
          <t>SIM</t>
        </is>
      </c>
    </row>
    <row r="132">
      <c r="E132" s="9" t="n"/>
      <c r="F132" s="10" t="n"/>
      <c r="H132" t="inlineStr">
        <is>
          <t>SIM</t>
        </is>
      </c>
      <c r="I132" t="inlineStr">
        <is>
          <t>SIM</t>
        </is>
      </c>
    </row>
    <row r="133">
      <c r="E133" s="9" t="n"/>
      <c r="F133" s="10" t="n"/>
      <c r="H133" t="inlineStr">
        <is>
          <t>SIM</t>
        </is>
      </c>
      <c r="I133" t="inlineStr">
        <is>
          <t>SIM</t>
        </is>
      </c>
    </row>
    <row r="134">
      <c r="E134" s="9" t="n"/>
      <c r="F134" s="10" t="n"/>
      <c r="H134" t="inlineStr">
        <is>
          <t>SIM</t>
        </is>
      </c>
      <c r="I134" t="inlineStr">
        <is>
          <t>SIM</t>
        </is>
      </c>
    </row>
    <row r="135">
      <c r="E135" s="9" t="n"/>
      <c r="F135" s="10" t="n"/>
      <c r="H135" t="inlineStr">
        <is>
          <t>SIM</t>
        </is>
      </c>
      <c r="I135" t="inlineStr">
        <is>
          <t>SIM</t>
        </is>
      </c>
    </row>
    <row r="136">
      <c r="E136" s="9" t="n"/>
      <c r="F136" s="10" t="n"/>
      <c r="H136" t="inlineStr">
        <is>
          <t>SIM</t>
        </is>
      </c>
      <c r="I136" t="inlineStr">
        <is>
          <t>SIM</t>
        </is>
      </c>
    </row>
    <row r="137">
      <c r="E137" s="9" t="n"/>
      <c r="F137" s="10" t="n"/>
      <c r="H137" t="inlineStr">
        <is>
          <t>SIM</t>
        </is>
      </c>
      <c r="I137" t="inlineStr">
        <is>
          <t>SIM</t>
        </is>
      </c>
    </row>
    <row r="138">
      <c r="E138" s="9" t="n"/>
      <c r="F138" s="10" t="n"/>
      <c r="H138" t="inlineStr">
        <is>
          <t>SIM</t>
        </is>
      </c>
      <c r="I138" t="inlineStr">
        <is>
          <t>SIM</t>
        </is>
      </c>
    </row>
    <row r="139">
      <c r="E139" s="9" t="n"/>
      <c r="F139" s="10" t="n"/>
      <c r="H139" t="inlineStr">
        <is>
          <t>SIM</t>
        </is>
      </c>
      <c r="I139" t="inlineStr">
        <is>
          <t>SIM</t>
        </is>
      </c>
    </row>
    <row r="140">
      <c r="E140" s="9" t="n"/>
      <c r="F140" s="10" t="n"/>
      <c r="H140" t="inlineStr">
        <is>
          <t>SIM</t>
        </is>
      </c>
      <c r="I140" t="inlineStr">
        <is>
          <t>SIM</t>
        </is>
      </c>
    </row>
    <row r="141">
      <c r="E141" s="9" t="n"/>
      <c r="F141" s="10" t="n"/>
      <c r="H141" t="inlineStr">
        <is>
          <t>SIM</t>
        </is>
      </c>
      <c r="I141" t="inlineStr">
        <is>
          <t>SIM</t>
        </is>
      </c>
    </row>
    <row r="142">
      <c r="E142" s="9" t="n"/>
      <c r="F142" s="10" t="n"/>
      <c r="H142" t="inlineStr">
        <is>
          <t>SIM</t>
        </is>
      </c>
      <c r="I142" t="inlineStr">
        <is>
          <t>SIM</t>
        </is>
      </c>
    </row>
    <row r="143">
      <c r="E143" s="9" t="n"/>
      <c r="F143" s="10" t="n"/>
      <c r="H143" t="inlineStr">
        <is>
          <t>SIM</t>
        </is>
      </c>
      <c r="I143" t="inlineStr">
        <is>
          <t>SIM</t>
        </is>
      </c>
    </row>
    <row r="144">
      <c r="E144" s="9" t="n"/>
      <c r="F144" s="10" t="n"/>
      <c r="H144" t="inlineStr">
        <is>
          <t>SIM</t>
        </is>
      </c>
      <c r="I144" t="inlineStr">
        <is>
          <t>SIM</t>
        </is>
      </c>
    </row>
    <row r="145">
      <c r="E145" s="9" t="n"/>
      <c r="F145" s="10" t="n"/>
      <c r="H145" t="inlineStr">
        <is>
          <t>SIM</t>
        </is>
      </c>
      <c r="I145" t="inlineStr">
        <is>
          <t>SIM</t>
        </is>
      </c>
    </row>
    <row r="146">
      <c r="E146" s="9" t="n"/>
      <c r="F146" s="10" t="n"/>
      <c r="H146" t="inlineStr">
        <is>
          <t>SIM</t>
        </is>
      </c>
      <c r="I146" t="inlineStr">
        <is>
          <t>SIM</t>
        </is>
      </c>
    </row>
    <row r="147">
      <c r="E147" s="9" t="n"/>
      <c r="F147" s="10" t="n"/>
      <c r="H147" t="inlineStr">
        <is>
          <t>SIM</t>
        </is>
      </c>
      <c r="I147" t="inlineStr">
        <is>
          <t>SIM</t>
        </is>
      </c>
    </row>
    <row r="148">
      <c r="E148" s="9" t="n"/>
      <c r="F148" s="10" t="n"/>
      <c r="H148" t="inlineStr">
        <is>
          <t>SIM</t>
        </is>
      </c>
      <c r="I148" t="inlineStr">
        <is>
          <t>SIM</t>
        </is>
      </c>
    </row>
    <row r="149">
      <c r="E149" s="9" t="n"/>
      <c r="F149" s="10" t="n"/>
      <c r="H149" t="inlineStr">
        <is>
          <t>SIM</t>
        </is>
      </c>
      <c r="I149" t="inlineStr">
        <is>
          <t>SIM</t>
        </is>
      </c>
    </row>
    <row r="150">
      <c r="E150" s="9" t="n"/>
      <c r="F150" s="10" t="n"/>
      <c r="H150" t="inlineStr">
        <is>
          <t>SIM</t>
        </is>
      </c>
      <c r="I150" t="inlineStr">
        <is>
          <t>SIM</t>
        </is>
      </c>
    </row>
    <row r="151">
      <c r="E151" s="9" t="n"/>
      <c r="F151" s="10" t="n"/>
      <c r="H151" t="inlineStr">
        <is>
          <t>SIM</t>
        </is>
      </c>
      <c r="I151" t="inlineStr">
        <is>
          <t>SIM</t>
        </is>
      </c>
    </row>
    <row r="152">
      <c r="E152" s="9" t="n"/>
      <c r="F152" s="10" t="n"/>
      <c r="H152" t="inlineStr">
        <is>
          <t>SIM</t>
        </is>
      </c>
      <c r="I152" t="inlineStr">
        <is>
          <t>SIM</t>
        </is>
      </c>
    </row>
    <row r="153">
      <c r="E153" s="9" t="n"/>
      <c r="F153" s="10" t="n"/>
      <c r="H153" t="inlineStr">
        <is>
          <t>SIM</t>
        </is>
      </c>
      <c r="I153" t="inlineStr">
        <is>
          <t>SIM</t>
        </is>
      </c>
    </row>
    <row r="154">
      <c r="E154" s="9" t="n"/>
      <c r="F154" s="10" t="n"/>
      <c r="H154" t="inlineStr">
        <is>
          <t>SIM</t>
        </is>
      </c>
      <c r="I154" t="inlineStr">
        <is>
          <t>SIM</t>
        </is>
      </c>
    </row>
    <row r="155">
      <c r="E155" s="9" t="n"/>
      <c r="F155" s="10" t="n"/>
      <c r="H155" t="inlineStr">
        <is>
          <t>SIM</t>
        </is>
      </c>
      <c r="I155" t="inlineStr">
        <is>
          <t>SIM</t>
        </is>
      </c>
    </row>
    <row r="156">
      <c r="E156" s="9" t="n"/>
      <c r="F156" s="10" t="n"/>
      <c r="H156" t="inlineStr">
        <is>
          <t>SIM</t>
        </is>
      </c>
      <c r="I156" t="inlineStr">
        <is>
          <t>SIM</t>
        </is>
      </c>
    </row>
    <row r="157">
      <c r="E157" s="9" t="n"/>
      <c r="F157" s="10" t="n"/>
      <c r="H157" t="inlineStr">
        <is>
          <t>SIM</t>
        </is>
      </c>
      <c r="I157" t="inlineStr">
        <is>
          <t>SIM</t>
        </is>
      </c>
    </row>
    <row r="158">
      <c r="E158" s="9" t="n"/>
      <c r="F158" s="10" t="n"/>
      <c r="H158" t="inlineStr">
        <is>
          <t>SIM</t>
        </is>
      </c>
      <c r="I158" t="inlineStr">
        <is>
          <t>SIM</t>
        </is>
      </c>
    </row>
    <row r="159">
      <c r="E159" s="9" t="n"/>
      <c r="F159" s="10" t="n"/>
      <c r="H159" t="inlineStr">
        <is>
          <t>SIM</t>
        </is>
      </c>
      <c r="I159" t="inlineStr">
        <is>
          <t>SIM</t>
        </is>
      </c>
    </row>
    <row r="160">
      <c r="E160" s="9" t="n"/>
      <c r="F160" s="10" t="n"/>
      <c r="H160" t="inlineStr">
        <is>
          <t>SIM</t>
        </is>
      </c>
      <c r="I160" t="inlineStr">
        <is>
          <t>SIM</t>
        </is>
      </c>
    </row>
    <row r="161">
      <c r="E161" s="9" t="n"/>
      <c r="F161" s="10" t="n"/>
      <c r="H161" t="inlineStr">
        <is>
          <t>SIM</t>
        </is>
      </c>
      <c r="I161" t="inlineStr">
        <is>
          <t>SIM</t>
        </is>
      </c>
    </row>
    <row r="162">
      <c r="E162" s="9" t="n"/>
      <c r="F162" s="10" t="n"/>
      <c r="H162" t="inlineStr">
        <is>
          <t>SIM</t>
        </is>
      </c>
      <c r="I162" t="inlineStr">
        <is>
          <t>SIM</t>
        </is>
      </c>
    </row>
    <row r="163">
      <c r="E163" s="9" t="n"/>
      <c r="F163" s="10" t="n"/>
      <c r="H163" t="inlineStr">
        <is>
          <t>SIM</t>
        </is>
      </c>
      <c r="I163" t="inlineStr">
        <is>
          <t>SIM</t>
        </is>
      </c>
    </row>
    <row r="164">
      <c r="E164" s="9" t="n"/>
      <c r="F164" s="10" t="n"/>
      <c r="H164" t="inlineStr">
        <is>
          <t>SIM</t>
        </is>
      </c>
      <c r="I164" t="inlineStr">
        <is>
          <t>SIM</t>
        </is>
      </c>
    </row>
    <row r="165">
      <c r="E165" s="9" t="n"/>
      <c r="F165" s="10" t="n"/>
      <c r="H165" t="inlineStr">
        <is>
          <t>SIM</t>
        </is>
      </c>
      <c r="I165" t="inlineStr">
        <is>
          <t>SIM</t>
        </is>
      </c>
    </row>
    <row r="166">
      <c r="E166" s="9" t="n"/>
      <c r="F166" s="10" t="n"/>
      <c r="H166" t="inlineStr">
        <is>
          <t>SIM</t>
        </is>
      </c>
      <c r="I166" t="inlineStr">
        <is>
          <t>SIM</t>
        </is>
      </c>
    </row>
    <row r="167">
      <c r="E167" s="9" t="n"/>
      <c r="F167" s="10" t="n"/>
      <c r="H167" t="inlineStr">
        <is>
          <t>SIM</t>
        </is>
      </c>
      <c r="I167" t="inlineStr">
        <is>
          <t>SIM</t>
        </is>
      </c>
    </row>
    <row r="168">
      <c r="E168" s="9" t="n"/>
      <c r="F168" s="10" t="n"/>
      <c r="H168" t="inlineStr">
        <is>
          <t>SIM</t>
        </is>
      </c>
      <c r="I168" t="inlineStr">
        <is>
          <t>SIM</t>
        </is>
      </c>
    </row>
    <row r="169">
      <c r="E169" s="9" t="n"/>
      <c r="F169" s="10" t="n"/>
      <c r="H169" t="inlineStr">
        <is>
          <t>SIM</t>
        </is>
      </c>
      <c r="I169" t="inlineStr">
        <is>
          <t>SIM</t>
        </is>
      </c>
    </row>
    <row r="170">
      <c r="E170" s="9" t="n"/>
      <c r="F170" s="10" t="n"/>
      <c r="H170" t="inlineStr">
        <is>
          <t>SIM</t>
        </is>
      </c>
      <c r="I170" t="inlineStr">
        <is>
          <t>SIM</t>
        </is>
      </c>
    </row>
    <row r="171">
      <c r="E171" s="9" t="n"/>
      <c r="F171" s="10" t="n"/>
      <c r="H171" t="inlineStr">
        <is>
          <t>SIM</t>
        </is>
      </c>
      <c r="I171" t="inlineStr">
        <is>
          <t>SIM</t>
        </is>
      </c>
    </row>
    <row r="172">
      <c r="E172" s="9" t="n"/>
      <c r="F172" s="10" t="n"/>
      <c r="H172" t="inlineStr">
        <is>
          <t>SIM</t>
        </is>
      </c>
      <c r="I172" t="inlineStr">
        <is>
          <t>SIM</t>
        </is>
      </c>
    </row>
    <row r="173">
      <c r="E173" s="9" t="n"/>
      <c r="F173" s="10" t="n"/>
      <c r="H173" t="inlineStr">
        <is>
          <t>SIM</t>
        </is>
      </c>
      <c r="I173" t="inlineStr">
        <is>
          <t>SIM</t>
        </is>
      </c>
    </row>
    <row r="174">
      <c r="E174" s="9" t="n"/>
      <c r="F174" s="10" t="n"/>
      <c r="H174" t="inlineStr">
        <is>
          <t>SIM</t>
        </is>
      </c>
      <c r="I174" t="inlineStr">
        <is>
          <t>SIM</t>
        </is>
      </c>
    </row>
    <row r="175">
      <c r="E175" s="9" t="n"/>
      <c r="F175" s="10" t="n"/>
      <c r="H175" t="inlineStr">
        <is>
          <t>SIM</t>
        </is>
      </c>
      <c r="I175" t="inlineStr">
        <is>
          <t>SIM</t>
        </is>
      </c>
    </row>
    <row r="176">
      <c r="E176" s="9" t="n"/>
      <c r="F176" s="10" t="n"/>
      <c r="H176" t="inlineStr">
        <is>
          <t>SIM</t>
        </is>
      </c>
      <c r="I176" t="inlineStr">
        <is>
          <t>SIM</t>
        </is>
      </c>
    </row>
    <row r="177">
      <c r="E177" s="9" t="n"/>
      <c r="F177" s="10" t="n"/>
      <c r="H177" t="inlineStr">
        <is>
          <t>SIM</t>
        </is>
      </c>
      <c r="I177" t="inlineStr">
        <is>
          <t>SIM</t>
        </is>
      </c>
    </row>
    <row r="178">
      <c r="E178" s="9" t="n"/>
      <c r="F178" s="10" t="n"/>
      <c r="H178" t="inlineStr">
        <is>
          <t>SIM</t>
        </is>
      </c>
      <c r="I178" t="inlineStr">
        <is>
          <t>SIM</t>
        </is>
      </c>
    </row>
    <row r="179">
      <c r="E179" s="9" t="n"/>
      <c r="F179" s="10" t="n"/>
      <c r="H179" t="inlineStr">
        <is>
          <t>SIM</t>
        </is>
      </c>
      <c r="I179" t="inlineStr">
        <is>
          <t>SIM</t>
        </is>
      </c>
    </row>
    <row r="180">
      <c r="E180" s="9" t="n"/>
      <c r="F180" s="10" t="n"/>
      <c r="H180" t="inlineStr">
        <is>
          <t>SIM</t>
        </is>
      </c>
      <c r="I180" t="inlineStr">
        <is>
          <t>SIM</t>
        </is>
      </c>
    </row>
    <row r="181">
      <c r="E181" s="9" t="n"/>
      <c r="F181" s="10" t="n"/>
      <c r="H181" t="inlineStr">
        <is>
          <t>SIM</t>
        </is>
      </c>
      <c r="I181" t="inlineStr">
        <is>
          <t>SIM</t>
        </is>
      </c>
    </row>
    <row r="182">
      <c r="E182" s="9" t="n"/>
      <c r="F182" s="10" t="n"/>
      <c r="H182" t="inlineStr">
        <is>
          <t>SIM</t>
        </is>
      </c>
      <c r="I182" t="inlineStr">
        <is>
          <t>SIM</t>
        </is>
      </c>
    </row>
    <row r="183">
      <c r="E183" s="9" t="n"/>
      <c r="F183" s="10" t="n"/>
      <c r="H183" t="inlineStr">
        <is>
          <t>SIM</t>
        </is>
      </c>
      <c r="I183" t="inlineStr">
        <is>
          <t>SIM</t>
        </is>
      </c>
    </row>
    <row r="184">
      <c r="E184" s="9" t="n"/>
      <c r="F184" s="10" t="n"/>
      <c r="H184" t="inlineStr">
        <is>
          <t>SIM</t>
        </is>
      </c>
      <c r="I184" t="inlineStr">
        <is>
          <t>SIM</t>
        </is>
      </c>
    </row>
    <row r="185">
      <c r="E185" s="9" t="n"/>
      <c r="F185" s="10" t="n"/>
      <c r="H185" t="inlineStr">
        <is>
          <t>SIM</t>
        </is>
      </c>
      <c r="I185" t="inlineStr">
        <is>
          <t>SIM</t>
        </is>
      </c>
    </row>
    <row r="186">
      <c r="E186" s="9" t="n"/>
      <c r="F186" s="10" t="n"/>
      <c r="H186" t="inlineStr">
        <is>
          <t>SIM</t>
        </is>
      </c>
      <c r="I186" t="inlineStr">
        <is>
          <t>SIM</t>
        </is>
      </c>
    </row>
    <row r="187">
      <c r="E187" s="9" t="n"/>
      <c r="F187" s="10" t="n"/>
      <c r="H187" t="inlineStr">
        <is>
          <t>SIM</t>
        </is>
      </c>
      <c r="I187" t="inlineStr">
        <is>
          <t>SIM</t>
        </is>
      </c>
    </row>
    <row r="188">
      <c r="E188" s="9" t="n"/>
      <c r="F188" s="10" t="n"/>
      <c r="H188" t="inlineStr">
        <is>
          <t>SIM</t>
        </is>
      </c>
      <c r="I188" t="inlineStr">
        <is>
          <t>SIM</t>
        </is>
      </c>
    </row>
    <row r="189">
      <c r="E189" s="9" t="n"/>
      <c r="F189" s="10" t="n"/>
      <c r="H189" t="inlineStr">
        <is>
          <t>SIM</t>
        </is>
      </c>
      <c r="I189" t="inlineStr">
        <is>
          <t>SIM</t>
        </is>
      </c>
    </row>
    <row r="190">
      <c r="E190" s="9" t="n"/>
      <c r="F190" s="10" t="n"/>
      <c r="H190" t="inlineStr">
        <is>
          <t>SIM</t>
        </is>
      </c>
      <c r="I190" t="inlineStr">
        <is>
          <t>SIM</t>
        </is>
      </c>
    </row>
    <row r="191">
      <c r="E191" s="9" t="n"/>
      <c r="F191" s="10" t="n"/>
      <c r="H191" t="inlineStr">
        <is>
          <t>SIM</t>
        </is>
      </c>
      <c r="I191" t="inlineStr">
        <is>
          <t>SIM</t>
        </is>
      </c>
    </row>
    <row r="192">
      <c r="E192" s="9" t="n"/>
      <c r="F192" s="10" t="n"/>
      <c r="H192" t="inlineStr">
        <is>
          <t>SIM</t>
        </is>
      </c>
      <c r="I192" t="inlineStr">
        <is>
          <t>SIM</t>
        </is>
      </c>
    </row>
    <row r="193">
      <c r="E193" s="9" t="n"/>
      <c r="F193" s="10" t="n"/>
      <c r="H193" t="inlineStr">
        <is>
          <t>SIM</t>
        </is>
      </c>
      <c r="I193" t="inlineStr">
        <is>
          <t>SIM</t>
        </is>
      </c>
    </row>
    <row r="194">
      <c r="E194" s="9" t="n"/>
      <c r="F194" s="10" t="n"/>
      <c r="H194" t="inlineStr">
        <is>
          <t>SIM</t>
        </is>
      </c>
      <c r="I194" t="inlineStr">
        <is>
          <t>SIM</t>
        </is>
      </c>
    </row>
    <row r="195">
      <c r="E195" s="9" t="n"/>
      <c r="F195" s="10" t="n"/>
      <c r="H195" t="inlineStr">
        <is>
          <t>SIM</t>
        </is>
      </c>
      <c r="I195" t="inlineStr">
        <is>
          <t>SIM</t>
        </is>
      </c>
    </row>
    <row r="196">
      <c r="E196" s="9" t="n"/>
      <c r="F196" s="10" t="n"/>
      <c r="H196" t="inlineStr">
        <is>
          <t>SIM</t>
        </is>
      </c>
      <c r="I196" t="inlineStr">
        <is>
          <t>SIM</t>
        </is>
      </c>
    </row>
    <row r="197">
      <c r="E197" s="9" t="n"/>
      <c r="F197" s="10" t="n"/>
      <c r="H197" t="inlineStr">
        <is>
          <t>SIM</t>
        </is>
      </c>
      <c r="I197" t="inlineStr">
        <is>
          <t>SIM</t>
        </is>
      </c>
    </row>
    <row r="198">
      <c r="E198" s="9" t="n"/>
      <c r="F198" s="10" t="n"/>
      <c r="H198" t="inlineStr">
        <is>
          <t>SIM</t>
        </is>
      </c>
      <c r="I198" t="inlineStr">
        <is>
          <t>SIM</t>
        </is>
      </c>
    </row>
    <row r="199">
      <c r="E199" s="9" t="n"/>
      <c r="F199" s="10" t="n"/>
      <c r="H199" t="inlineStr">
        <is>
          <t>SIM</t>
        </is>
      </c>
      <c r="I199" t="inlineStr">
        <is>
          <t>SIM</t>
        </is>
      </c>
    </row>
    <row r="200">
      <c r="E200" s="9" t="n"/>
      <c r="F200" s="10" t="n"/>
      <c r="H200" t="inlineStr">
        <is>
          <t>SIM</t>
        </is>
      </c>
      <c r="I200" t="inlineStr">
        <is>
          <t>SIM</t>
        </is>
      </c>
    </row>
    <row r="201">
      <c r="E201" s="9" t="n"/>
      <c r="F201" s="10" t="n"/>
      <c r="H201" t="inlineStr">
        <is>
          <t>SIM</t>
        </is>
      </c>
      <c r="I201" t="inlineStr">
        <is>
          <t>SIM</t>
        </is>
      </c>
    </row>
    <row r="202">
      <c r="E202" s="9" t="n"/>
      <c r="F202" s="10" t="n"/>
      <c r="H202" t="inlineStr">
        <is>
          <t>SIM</t>
        </is>
      </c>
      <c r="I202" t="inlineStr">
        <is>
          <t>SIM</t>
        </is>
      </c>
    </row>
    <row r="203">
      <c r="E203" s="9" t="n"/>
      <c r="F203" s="10" t="n"/>
      <c r="H203" t="inlineStr">
        <is>
          <t>SIM</t>
        </is>
      </c>
      <c r="I203" t="inlineStr">
        <is>
          <t>SIM</t>
        </is>
      </c>
    </row>
    <row r="204">
      <c r="E204" s="9" t="n"/>
      <c r="F204" s="10" t="n"/>
      <c r="H204" t="inlineStr">
        <is>
          <t>SIM</t>
        </is>
      </c>
      <c r="I204" t="inlineStr">
        <is>
          <t>SIM</t>
        </is>
      </c>
    </row>
    <row r="205">
      <c r="E205" s="9" t="n"/>
      <c r="F205" s="10" t="n"/>
      <c r="H205" t="inlineStr">
        <is>
          <t>SIM</t>
        </is>
      </c>
      <c r="I205" t="inlineStr">
        <is>
          <t>SIM</t>
        </is>
      </c>
    </row>
    <row r="206">
      <c r="E206" s="9" t="n"/>
      <c r="F206" s="10" t="n"/>
      <c r="H206" t="inlineStr">
        <is>
          <t>SIM</t>
        </is>
      </c>
      <c r="I206" t="inlineStr">
        <is>
          <t>SIM</t>
        </is>
      </c>
    </row>
    <row r="207">
      <c r="E207" s="9" t="n"/>
      <c r="F207" s="10" t="n"/>
      <c r="H207" t="inlineStr">
        <is>
          <t>SIM</t>
        </is>
      </c>
      <c r="I207" t="inlineStr">
        <is>
          <t>SIM</t>
        </is>
      </c>
    </row>
    <row r="208">
      <c r="E208" s="9" t="n"/>
      <c r="F208" s="10" t="n"/>
      <c r="H208" t="inlineStr">
        <is>
          <t>SIM</t>
        </is>
      </c>
      <c r="I208" t="inlineStr">
        <is>
          <t>SIM</t>
        </is>
      </c>
    </row>
    <row r="209">
      <c r="E209" s="9" t="n"/>
      <c r="F209" s="10" t="n"/>
      <c r="H209" t="inlineStr">
        <is>
          <t>SIM</t>
        </is>
      </c>
      <c r="I209" t="inlineStr">
        <is>
          <t>SIM</t>
        </is>
      </c>
    </row>
    <row r="210">
      <c r="E210" s="9" t="n"/>
      <c r="F210" s="10" t="n"/>
      <c r="H210" t="inlineStr">
        <is>
          <t>SIM</t>
        </is>
      </c>
      <c r="I210" t="inlineStr">
        <is>
          <t>SIM</t>
        </is>
      </c>
    </row>
    <row r="211">
      <c r="E211" s="9" t="n"/>
      <c r="F211" s="10" t="n"/>
      <c r="H211" t="inlineStr">
        <is>
          <t>SIM</t>
        </is>
      </c>
      <c r="I211" t="inlineStr">
        <is>
          <t>SIM</t>
        </is>
      </c>
    </row>
    <row r="212">
      <c r="E212" s="9" t="n"/>
      <c r="F212" s="10" t="n"/>
      <c r="H212" t="inlineStr">
        <is>
          <t>SIM</t>
        </is>
      </c>
      <c r="I212" t="inlineStr">
        <is>
          <t>SIM</t>
        </is>
      </c>
    </row>
    <row r="213">
      <c r="E213" s="9" t="n"/>
      <c r="F213" s="10" t="n"/>
      <c r="H213" t="inlineStr">
        <is>
          <t>SIM</t>
        </is>
      </c>
      <c r="I213" t="inlineStr">
        <is>
          <t>SIM</t>
        </is>
      </c>
    </row>
    <row r="214">
      <c r="E214" s="9" t="n"/>
      <c r="F214" s="10" t="n"/>
      <c r="H214" t="inlineStr">
        <is>
          <t>SIM</t>
        </is>
      </c>
      <c r="I214" t="inlineStr">
        <is>
          <t>SIM</t>
        </is>
      </c>
    </row>
    <row r="215">
      <c r="E215" s="9" t="n"/>
      <c r="F215" s="10" t="n"/>
      <c r="H215" t="inlineStr">
        <is>
          <t>SIM</t>
        </is>
      </c>
      <c r="I215" t="inlineStr">
        <is>
          <t>SIM</t>
        </is>
      </c>
    </row>
    <row r="216">
      <c r="E216" s="9" t="n"/>
      <c r="F216" s="10" t="n"/>
      <c r="H216" t="inlineStr">
        <is>
          <t>SIM</t>
        </is>
      </c>
      <c r="I216" t="inlineStr">
        <is>
          <t>SIM</t>
        </is>
      </c>
    </row>
    <row r="217">
      <c r="E217" s="9" t="n"/>
      <c r="F217" s="10" t="n"/>
      <c r="H217" t="inlineStr">
        <is>
          <t>SIM</t>
        </is>
      </c>
      <c r="I217" t="inlineStr">
        <is>
          <t>SIM</t>
        </is>
      </c>
    </row>
    <row r="218">
      <c r="E218" s="9" t="n"/>
      <c r="F218" s="10" t="n"/>
      <c r="H218" t="inlineStr">
        <is>
          <t>SIM</t>
        </is>
      </c>
      <c r="I218" t="inlineStr">
        <is>
          <t>SIM</t>
        </is>
      </c>
    </row>
    <row r="219">
      <c r="E219" s="9" t="n"/>
      <c r="F219" s="10" t="n"/>
      <c r="H219" t="inlineStr">
        <is>
          <t>SIM</t>
        </is>
      </c>
      <c r="I219" t="inlineStr">
        <is>
          <t>SIM</t>
        </is>
      </c>
    </row>
    <row r="220">
      <c r="E220" s="9" t="n"/>
      <c r="F220" s="10" t="n"/>
      <c r="H220" t="inlineStr">
        <is>
          <t>SIM</t>
        </is>
      </c>
      <c r="I220" t="inlineStr">
        <is>
          <t>SIM</t>
        </is>
      </c>
    </row>
    <row r="221">
      <c r="E221" s="9" t="n"/>
      <c r="F221" s="10" t="n"/>
      <c r="H221" t="inlineStr">
        <is>
          <t>SIM</t>
        </is>
      </c>
      <c r="I221" t="inlineStr">
        <is>
          <t>SIM</t>
        </is>
      </c>
    </row>
    <row r="222">
      <c r="E222" s="9" t="n"/>
      <c r="F222" s="10" t="n"/>
      <c r="H222" t="inlineStr">
        <is>
          <t>SIM</t>
        </is>
      </c>
      <c r="I222" t="inlineStr">
        <is>
          <t>SIM</t>
        </is>
      </c>
    </row>
    <row r="223">
      <c r="E223" s="9" t="n"/>
      <c r="F223" s="10" t="n"/>
      <c r="H223" t="inlineStr">
        <is>
          <t>SIM</t>
        </is>
      </c>
      <c r="I223" t="inlineStr">
        <is>
          <t>SIM</t>
        </is>
      </c>
    </row>
    <row r="224">
      <c r="E224" s="9" t="n"/>
      <c r="F224" s="10" t="n"/>
      <c r="H224" t="inlineStr">
        <is>
          <t>SIM</t>
        </is>
      </c>
      <c r="I224" t="inlineStr">
        <is>
          <t>SIM</t>
        </is>
      </c>
    </row>
    <row r="225">
      <c r="E225" s="9" t="n"/>
      <c r="F225" s="10" t="n"/>
      <c r="H225" t="inlineStr">
        <is>
          <t>SIM</t>
        </is>
      </c>
      <c r="I225" t="inlineStr">
        <is>
          <t>SIM</t>
        </is>
      </c>
    </row>
    <row r="226">
      <c r="E226" s="9" t="n"/>
      <c r="F226" s="10" t="n"/>
      <c r="H226" t="inlineStr">
        <is>
          <t>SIM</t>
        </is>
      </c>
      <c r="I226" t="inlineStr">
        <is>
          <t>SIM</t>
        </is>
      </c>
    </row>
    <row r="227">
      <c r="E227" s="9" t="n"/>
      <c r="F227" s="10" t="n"/>
      <c r="H227" t="inlineStr">
        <is>
          <t>SIM</t>
        </is>
      </c>
      <c r="I227" t="inlineStr">
        <is>
          <t>SIM</t>
        </is>
      </c>
    </row>
    <row r="228">
      <c r="E228" s="9" t="n"/>
      <c r="F228" s="10" t="n"/>
      <c r="H228" t="inlineStr">
        <is>
          <t>SIM</t>
        </is>
      </c>
      <c r="I228" t="inlineStr">
        <is>
          <t>SIM</t>
        </is>
      </c>
    </row>
    <row r="229">
      <c r="E229" s="9" t="n"/>
      <c r="F229" s="10" t="n"/>
      <c r="H229" t="inlineStr">
        <is>
          <t>SIM</t>
        </is>
      </c>
      <c r="I229" t="inlineStr">
        <is>
          <t>SIM</t>
        </is>
      </c>
    </row>
    <row r="230">
      <c r="E230" s="9" t="n"/>
      <c r="F230" s="10" t="n"/>
      <c r="H230" t="inlineStr">
        <is>
          <t>SIM</t>
        </is>
      </c>
      <c r="I230" t="inlineStr">
        <is>
          <t>SIM</t>
        </is>
      </c>
    </row>
    <row r="231">
      <c r="E231" s="9" t="n"/>
      <c r="F231" s="10" t="n"/>
      <c r="H231" t="inlineStr">
        <is>
          <t>SIM</t>
        </is>
      </c>
      <c r="I231" t="inlineStr">
        <is>
          <t>SIM</t>
        </is>
      </c>
    </row>
    <row r="232">
      <c r="E232" s="9" t="n"/>
      <c r="F232" s="10" t="n"/>
      <c r="H232" t="inlineStr">
        <is>
          <t>SIM</t>
        </is>
      </c>
      <c r="I232" t="inlineStr">
        <is>
          <t>SIM</t>
        </is>
      </c>
    </row>
    <row r="233">
      <c r="E233" s="9" t="n"/>
      <c r="F233" s="10" t="n"/>
      <c r="H233" t="inlineStr">
        <is>
          <t>SIM</t>
        </is>
      </c>
      <c r="I233" t="inlineStr">
        <is>
          <t>SIM</t>
        </is>
      </c>
    </row>
    <row r="234">
      <c r="E234" s="9" t="n"/>
      <c r="F234" s="10" t="n"/>
      <c r="H234" t="inlineStr">
        <is>
          <t>SIM</t>
        </is>
      </c>
      <c r="I234" t="inlineStr">
        <is>
          <t>SIM</t>
        </is>
      </c>
    </row>
    <row r="235">
      <c r="E235" s="9" t="n"/>
      <c r="F235" s="10" t="n"/>
      <c r="H235" t="inlineStr">
        <is>
          <t>SIM</t>
        </is>
      </c>
      <c r="I235" t="inlineStr">
        <is>
          <t>SIM</t>
        </is>
      </c>
    </row>
    <row r="236">
      <c r="E236" s="9" t="n"/>
      <c r="F236" s="10" t="n"/>
      <c r="H236" t="inlineStr">
        <is>
          <t>SIM</t>
        </is>
      </c>
      <c r="I236" t="inlineStr">
        <is>
          <t>SIM</t>
        </is>
      </c>
    </row>
    <row r="237">
      <c r="E237" s="9" t="n"/>
      <c r="F237" s="10" t="n"/>
      <c r="H237" t="inlineStr">
        <is>
          <t>SIM</t>
        </is>
      </c>
      <c r="I237" t="inlineStr">
        <is>
          <t>SIM</t>
        </is>
      </c>
    </row>
    <row r="238">
      <c r="E238" s="9" t="n"/>
      <c r="F238" s="10" t="n"/>
      <c r="H238" t="inlineStr">
        <is>
          <t>SIM</t>
        </is>
      </c>
      <c r="I238" t="inlineStr">
        <is>
          <t>SIM</t>
        </is>
      </c>
    </row>
    <row r="239">
      <c r="E239" s="9" t="n"/>
      <c r="F239" s="10" t="n"/>
      <c r="H239" t="inlineStr">
        <is>
          <t>SIM</t>
        </is>
      </c>
      <c r="I239" t="inlineStr">
        <is>
          <t>SIM</t>
        </is>
      </c>
    </row>
    <row r="240">
      <c r="E240" s="9" t="n"/>
      <c r="F240" s="10" t="n"/>
      <c r="H240" t="inlineStr">
        <is>
          <t>SIM</t>
        </is>
      </c>
      <c r="I240" t="inlineStr">
        <is>
          <t>SIM</t>
        </is>
      </c>
    </row>
    <row r="241">
      <c r="E241" s="9" t="n"/>
      <c r="F241" s="10" t="n"/>
      <c r="H241" t="inlineStr">
        <is>
          <t>SIM</t>
        </is>
      </c>
      <c r="I241" t="inlineStr">
        <is>
          <t>SIM</t>
        </is>
      </c>
    </row>
    <row r="242">
      <c r="E242" s="9" t="n"/>
      <c r="F242" s="10" t="n"/>
      <c r="H242" t="inlineStr">
        <is>
          <t>SIM</t>
        </is>
      </c>
      <c r="I242" t="inlineStr">
        <is>
          <t>SIM</t>
        </is>
      </c>
    </row>
    <row r="243">
      <c r="E243" s="9" t="n"/>
      <c r="F243" s="10" t="n"/>
      <c r="H243" t="inlineStr">
        <is>
          <t>SIM</t>
        </is>
      </c>
      <c r="I243" t="inlineStr">
        <is>
          <t>SIM</t>
        </is>
      </c>
    </row>
    <row r="244">
      <c r="E244" s="9" t="n"/>
      <c r="F244" s="10" t="n"/>
      <c r="H244" t="inlineStr">
        <is>
          <t>SIM</t>
        </is>
      </c>
      <c r="I244" t="inlineStr">
        <is>
          <t>SIM</t>
        </is>
      </c>
    </row>
    <row r="245">
      <c r="E245" s="9" t="n"/>
      <c r="F245" s="10" t="n"/>
      <c r="H245" t="inlineStr">
        <is>
          <t>SIM</t>
        </is>
      </c>
      <c r="I245" t="inlineStr">
        <is>
          <t>SIM</t>
        </is>
      </c>
    </row>
    <row r="246">
      <c r="E246" s="9" t="n"/>
      <c r="F246" s="10" t="n"/>
      <c r="H246" t="inlineStr">
        <is>
          <t>SIM</t>
        </is>
      </c>
      <c r="I246" t="inlineStr">
        <is>
          <t>SIM</t>
        </is>
      </c>
    </row>
    <row r="247">
      <c r="E247" s="9" t="n"/>
      <c r="F247" s="10" t="n"/>
      <c r="H247" t="inlineStr">
        <is>
          <t>SIM</t>
        </is>
      </c>
      <c r="I247" t="inlineStr">
        <is>
          <t>SIM</t>
        </is>
      </c>
    </row>
    <row r="248">
      <c r="E248" s="9" t="n"/>
      <c r="F248" s="10" t="n"/>
      <c r="H248" t="inlineStr">
        <is>
          <t>SIM</t>
        </is>
      </c>
      <c r="I248" t="inlineStr">
        <is>
          <t>SIM</t>
        </is>
      </c>
    </row>
    <row r="249">
      <c r="E249" s="9" t="n"/>
      <c r="F249" s="10" t="n"/>
      <c r="H249" t="inlineStr">
        <is>
          <t>SIM</t>
        </is>
      </c>
      <c r="I249" t="inlineStr">
        <is>
          <t>SIM</t>
        </is>
      </c>
    </row>
    <row r="250">
      <c r="E250" s="9" t="n"/>
      <c r="F250" s="10" t="n"/>
      <c r="H250" t="inlineStr">
        <is>
          <t>SIM</t>
        </is>
      </c>
      <c r="I250" t="inlineStr">
        <is>
          <t>SIM</t>
        </is>
      </c>
    </row>
    <row r="251">
      <c r="E251" s="9" t="n"/>
      <c r="F251" s="10" t="n"/>
      <c r="H251" t="inlineStr">
        <is>
          <t>SIM</t>
        </is>
      </c>
      <c r="I251" t="inlineStr">
        <is>
          <t>SIM</t>
        </is>
      </c>
    </row>
    <row r="252">
      <c r="E252" s="9" t="n"/>
      <c r="F252" s="10" t="n"/>
      <c r="H252" t="inlineStr">
        <is>
          <t>SIM</t>
        </is>
      </c>
      <c r="I252" t="inlineStr">
        <is>
          <t>SIM</t>
        </is>
      </c>
    </row>
    <row r="253">
      <c r="E253" s="9" t="n"/>
      <c r="F253" s="10" t="n"/>
      <c r="H253" t="inlineStr">
        <is>
          <t>SIM</t>
        </is>
      </c>
      <c r="I253" t="inlineStr">
        <is>
          <t>SIM</t>
        </is>
      </c>
    </row>
    <row r="254">
      <c r="E254" s="9" t="n"/>
      <c r="F254" s="10" t="n"/>
      <c r="H254" t="inlineStr">
        <is>
          <t>SIM</t>
        </is>
      </c>
      <c r="I254" t="inlineStr">
        <is>
          <t>SIM</t>
        </is>
      </c>
    </row>
    <row r="255">
      <c r="E255" s="9" t="n"/>
      <c r="F255" s="10" t="n"/>
      <c r="H255" t="inlineStr">
        <is>
          <t>SIM</t>
        </is>
      </c>
      <c r="I255" t="inlineStr">
        <is>
          <t>SIM</t>
        </is>
      </c>
    </row>
    <row r="256">
      <c r="E256" s="9" t="n"/>
      <c r="F256" s="10" t="n"/>
      <c r="H256" t="inlineStr">
        <is>
          <t>SIM</t>
        </is>
      </c>
      <c r="I256" t="inlineStr">
        <is>
          <t>SIM</t>
        </is>
      </c>
    </row>
    <row r="257">
      <c r="E257" s="9" t="n"/>
      <c r="F257" s="10" t="n"/>
      <c r="H257" t="inlineStr">
        <is>
          <t>SIM</t>
        </is>
      </c>
      <c r="I257" t="inlineStr">
        <is>
          <t>SIM</t>
        </is>
      </c>
    </row>
    <row r="258">
      <c r="E258" s="9" t="n"/>
      <c r="F258" s="10" t="n"/>
      <c r="H258" t="inlineStr">
        <is>
          <t>SIM</t>
        </is>
      </c>
      <c r="I258" t="inlineStr">
        <is>
          <t>SIM</t>
        </is>
      </c>
    </row>
    <row r="259">
      <c r="E259" s="9" t="n"/>
      <c r="F259" s="10" t="n"/>
      <c r="H259" t="inlineStr">
        <is>
          <t>SIM</t>
        </is>
      </c>
      <c r="I259" t="inlineStr">
        <is>
          <t>SIM</t>
        </is>
      </c>
    </row>
    <row r="260">
      <c r="E260" s="9" t="n"/>
      <c r="F260" s="10" t="n"/>
      <c r="H260" t="inlineStr">
        <is>
          <t>SIM</t>
        </is>
      </c>
      <c r="I260" t="inlineStr">
        <is>
          <t>SIM</t>
        </is>
      </c>
    </row>
    <row r="261">
      <c r="E261" s="9" t="n"/>
      <c r="F261" s="10" t="n"/>
      <c r="H261" t="inlineStr">
        <is>
          <t>SIM</t>
        </is>
      </c>
      <c r="I261" t="inlineStr">
        <is>
          <t>SIM</t>
        </is>
      </c>
    </row>
    <row r="262">
      <c r="E262" s="9" t="n"/>
      <c r="F262" s="10" t="n"/>
      <c r="H262" t="inlineStr">
        <is>
          <t>SIM</t>
        </is>
      </c>
      <c r="I262" t="inlineStr">
        <is>
          <t>SIM</t>
        </is>
      </c>
    </row>
    <row r="263">
      <c r="E263" s="9" t="n"/>
      <c r="F263" s="10" t="n"/>
      <c r="H263" t="inlineStr">
        <is>
          <t>SIM</t>
        </is>
      </c>
      <c r="I263" t="inlineStr">
        <is>
          <t>SIM</t>
        </is>
      </c>
    </row>
    <row r="264">
      <c r="E264" s="9" t="n"/>
      <c r="F264" s="10" t="n"/>
      <c r="H264" t="inlineStr">
        <is>
          <t>SIM</t>
        </is>
      </c>
      <c r="I264" t="inlineStr">
        <is>
          <t>SIM</t>
        </is>
      </c>
    </row>
    <row r="265">
      <c r="E265" s="9" t="n"/>
      <c r="F265" s="10" t="n"/>
      <c r="H265" t="inlineStr">
        <is>
          <t>SIM</t>
        </is>
      </c>
      <c r="I265" t="inlineStr">
        <is>
          <t>SIM</t>
        </is>
      </c>
    </row>
    <row r="266">
      <c r="E266" s="9" t="n"/>
      <c r="F266" s="10" t="n"/>
      <c r="H266" t="inlineStr">
        <is>
          <t>SIM</t>
        </is>
      </c>
      <c r="I266" t="inlineStr">
        <is>
          <t>SIM</t>
        </is>
      </c>
    </row>
    <row r="267">
      <c r="E267" s="9" t="n"/>
      <c r="F267" s="10" t="n"/>
      <c r="H267" t="inlineStr">
        <is>
          <t>SIM</t>
        </is>
      </c>
      <c r="I267" t="inlineStr">
        <is>
          <t>SIM</t>
        </is>
      </c>
    </row>
    <row r="268">
      <c r="E268" s="9" t="n"/>
      <c r="F268" s="10" t="n"/>
      <c r="H268" t="inlineStr">
        <is>
          <t>SIM</t>
        </is>
      </c>
      <c r="I268" t="inlineStr">
        <is>
          <t>SIM</t>
        </is>
      </c>
    </row>
    <row r="269">
      <c r="E269" s="9" t="n"/>
      <c r="F269" s="10" t="n"/>
      <c r="H269" t="inlineStr">
        <is>
          <t>SIM</t>
        </is>
      </c>
      <c r="I269" t="inlineStr">
        <is>
          <t>SIM</t>
        </is>
      </c>
    </row>
    <row r="270">
      <c r="E270" s="9" t="n"/>
      <c r="F270" s="10" t="n"/>
      <c r="H270" t="inlineStr">
        <is>
          <t>SIM</t>
        </is>
      </c>
      <c r="I270" t="inlineStr">
        <is>
          <t>SIM</t>
        </is>
      </c>
    </row>
    <row r="271">
      <c r="E271" s="9" t="n"/>
      <c r="F271" s="10" t="n"/>
      <c r="H271" t="inlineStr">
        <is>
          <t>SIM</t>
        </is>
      </c>
      <c r="I271" t="inlineStr">
        <is>
          <t>SIM</t>
        </is>
      </c>
    </row>
    <row r="272">
      <c r="E272" s="9" t="n"/>
      <c r="F272" s="10" t="n"/>
      <c r="H272" t="inlineStr">
        <is>
          <t>SIM</t>
        </is>
      </c>
      <c r="I272" t="inlineStr">
        <is>
          <t>SIM</t>
        </is>
      </c>
    </row>
    <row r="273">
      <c r="E273" s="9" t="n"/>
      <c r="F273" s="10" t="n"/>
      <c r="H273" t="inlineStr">
        <is>
          <t>SIM</t>
        </is>
      </c>
      <c r="I273" t="inlineStr">
        <is>
          <t>SIM</t>
        </is>
      </c>
    </row>
    <row r="274">
      <c r="E274" s="9" t="n"/>
      <c r="F274" s="10" t="n"/>
      <c r="H274" t="inlineStr">
        <is>
          <t>SIM</t>
        </is>
      </c>
      <c r="I274" t="inlineStr">
        <is>
          <t>SIM</t>
        </is>
      </c>
    </row>
    <row r="275">
      <c r="E275" s="9" t="n"/>
      <c r="F275" s="10" t="n"/>
      <c r="H275" t="inlineStr">
        <is>
          <t>SIM</t>
        </is>
      </c>
      <c r="I275" t="inlineStr">
        <is>
          <t>SIM</t>
        </is>
      </c>
    </row>
    <row r="276">
      <c r="E276" s="9" t="n"/>
      <c r="F276" s="10" t="n"/>
      <c r="H276" t="inlineStr">
        <is>
          <t>SIM</t>
        </is>
      </c>
      <c r="I276" t="inlineStr">
        <is>
          <t>SIM</t>
        </is>
      </c>
    </row>
    <row r="277">
      <c r="E277" s="9" t="n"/>
      <c r="F277" s="10" t="n"/>
      <c r="H277" t="inlineStr">
        <is>
          <t>SIM</t>
        </is>
      </c>
      <c r="I277" t="inlineStr">
        <is>
          <t>SIM</t>
        </is>
      </c>
    </row>
    <row r="278">
      <c r="E278" s="9" t="n"/>
      <c r="F278" s="10" t="n"/>
      <c r="H278" t="inlineStr">
        <is>
          <t>SIM</t>
        </is>
      </c>
      <c r="I278" t="inlineStr">
        <is>
          <t>SIM</t>
        </is>
      </c>
    </row>
    <row r="279">
      <c r="E279" s="9" t="n"/>
      <c r="F279" s="10" t="n"/>
      <c r="H279" t="inlineStr">
        <is>
          <t>SIM</t>
        </is>
      </c>
      <c r="I279" t="inlineStr">
        <is>
          <t>SIM</t>
        </is>
      </c>
    </row>
    <row r="280">
      <c r="E280" s="9" t="n"/>
      <c r="F280" s="10" t="n"/>
      <c r="H280" t="inlineStr">
        <is>
          <t>SIM</t>
        </is>
      </c>
      <c r="I280" t="inlineStr">
        <is>
          <t>SIM</t>
        </is>
      </c>
    </row>
    <row r="281">
      <c r="E281" s="9" t="n"/>
      <c r="F281" s="10" t="n"/>
      <c r="H281" t="inlineStr">
        <is>
          <t>SIM</t>
        </is>
      </c>
      <c r="I281" t="inlineStr">
        <is>
          <t>SIM</t>
        </is>
      </c>
    </row>
    <row r="282">
      <c r="E282" s="9" t="n"/>
      <c r="F282" s="10" t="n"/>
      <c r="H282" t="inlineStr">
        <is>
          <t>SIM</t>
        </is>
      </c>
      <c r="I282" t="inlineStr">
        <is>
          <t>SIM</t>
        </is>
      </c>
    </row>
    <row r="283">
      <c r="E283" s="9" t="n"/>
      <c r="F283" s="10" t="n"/>
      <c r="H283" t="inlineStr">
        <is>
          <t>SIM</t>
        </is>
      </c>
      <c r="I283" t="inlineStr">
        <is>
          <t>SIM</t>
        </is>
      </c>
    </row>
    <row r="284">
      <c r="E284" s="9" t="n"/>
      <c r="F284" s="10" t="n"/>
      <c r="H284" t="inlineStr">
        <is>
          <t>SIM</t>
        </is>
      </c>
      <c r="I284" t="inlineStr">
        <is>
          <t>SIM</t>
        </is>
      </c>
    </row>
    <row r="285">
      <c r="E285" s="9" t="n"/>
      <c r="F285" s="10" t="n"/>
      <c r="H285" t="inlineStr">
        <is>
          <t>SIM</t>
        </is>
      </c>
      <c r="I285" t="inlineStr">
        <is>
          <t>SIM</t>
        </is>
      </c>
    </row>
    <row r="286">
      <c r="E286" s="9" t="n"/>
      <c r="F286" s="10" t="n"/>
      <c r="H286" t="inlineStr">
        <is>
          <t>SIM</t>
        </is>
      </c>
      <c r="I286" t="inlineStr">
        <is>
          <t>SIM</t>
        </is>
      </c>
    </row>
    <row r="287">
      <c r="E287" s="9" t="n"/>
      <c r="F287" s="10" t="n"/>
      <c r="H287" t="inlineStr">
        <is>
          <t>SIM</t>
        </is>
      </c>
      <c r="I287" t="inlineStr">
        <is>
          <t>SIM</t>
        </is>
      </c>
    </row>
    <row r="288">
      <c r="E288" s="9" t="n"/>
      <c r="F288" s="10" t="n"/>
      <c r="H288" t="inlineStr">
        <is>
          <t>SIM</t>
        </is>
      </c>
      <c r="I288" t="inlineStr">
        <is>
          <t>SIM</t>
        </is>
      </c>
    </row>
    <row r="289">
      <c r="E289" s="9" t="n"/>
      <c r="F289" s="10" t="n"/>
      <c r="H289" t="inlineStr">
        <is>
          <t>SIM</t>
        </is>
      </c>
      <c r="I289" t="inlineStr">
        <is>
          <t>SIM</t>
        </is>
      </c>
    </row>
    <row r="290">
      <c r="E290" s="9" t="n"/>
      <c r="F290" s="10" t="n"/>
      <c r="H290" t="inlineStr">
        <is>
          <t>SIM</t>
        </is>
      </c>
      <c r="I290" t="inlineStr">
        <is>
          <t>SIM</t>
        </is>
      </c>
    </row>
    <row r="291">
      <c r="E291" s="9" t="n"/>
      <c r="F291" s="10" t="n"/>
      <c r="H291" t="inlineStr">
        <is>
          <t>SIM</t>
        </is>
      </c>
      <c r="I291" t="inlineStr">
        <is>
          <t>SIM</t>
        </is>
      </c>
    </row>
    <row r="292">
      <c r="E292" s="9" t="n"/>
      <c r="F292" s="10" t="n"/>
      <c r="H292" t="inlineStr">
        <is>
          <t>SIM</t>
        </is>
      </c>
      <c r="I292" t="inlineStr">
        <is>
          <t>SIM</t>
        </is>
      </c>
    </row>
    <row r="293">
      <c r="E293" s="9" t="n"/>
      <c r="F293" s="10" t="n"/>
      <c r="H293" t="inlineStr">
        <is>
          <t>SIM</t>
        </is>
      </c>
      <c r="I293" t="inlineStr">
        <is>
          <t>SIM</t>
        </is>
      </c>
    </row>
    <row r="294">
      <c r="E294" s="9" t="n"/>
      <c r="F294" s="10" t="n"/>
      <c r="H294" t="inlineStr">
        <is>
          <t>SIM</t>
        </is>
      </c>
      <c r="I294" t="inlineStr">
        <is>
          <t>SIM</t>
        </is>
      </c>
    </row>
    <row r="295">
      <c r="E295" s="9" t="n"/>
      <c r="F295" s="10" t="n"/>
      <c r="H295" t="inlineStr">
        <is>
          <t>SIM</t>
        </is>
      </c>
      <c r="I295" t="inlineStr">
        <is>
          <t>SIM</t>
        </is>
      </c>
    </row>
    <row r="296">
      <c r="E296" s="9" t="n"/>
      <c r="F296" s="10" t="n"/>
      <c r="H296" t="inlineStr">
        <is>
          <t>SIM</t>
        </is>
      </c>
      <c r="I296" t="inlineStr">
        <is>
          <t>SIM</t>
        </is>
      </c>
    </row>
    <row r="297">
      <c r="E297" s="9" t="n"/>
      <c r="F297" s="10" t="n"/>
      <c r="H297" t="inlineStr">
        <is>
          <t>SIM</t>
        </is>
      </c>
      <c r="I297" t="inlineStr">
        <is>
          <t>SIM</t>
        </is>
      </c>
    </row>
    <row r="298">
      <c r="E298" s="9" t="n"/>
      <c r="F298" s="10" t="n"/>
      <c r="H298" t="inlineStr">
        <is>
          <t>SIM</t>
        </is>
      </c>
      <c r="I298" t="inlineStr">
        <is>
          <t>SIM</t>
        </is>
      </c>
    </row>
    <row r="299">
      <c r="E299" s="9" t="n"/>
      <c r="F299" s="10" t="n"/>
      <c r="H299" t="inlineStr">
        <is>
          <t>SIM</t>
        </is>
      </c>
      <c r="I299" t="inlineStr">
        <is>
          <t>SIM</t>
        </is>
      </c>
    </row>
    <row r="300">
      <c r="E300" s="9" t="n"/>
      <c r="F300" s="10" t="n"/>
      <c r="H300" t="inlineStr">
        <is>
          <t>SIM</t>
        </is>
      </c>
      <c r="I300" t="inlineStr">
        <is>
          <t>SIM</t>
        </is>
      </c>
    </row>
    <row r="301">
      <c r="E301" s="9" t="n"/>
      <c r="F301" s="10" t="n"/>
      <c r="H301" t="inlineStr">
        <is>
          <t>SIM</t>
        </is>
      </c>
      <c r="I301" t="inlineStr">
        <is>
          <t>SIM</t>
        </is>
      </c>
    </row>
    <row r="302">
      <c r="E302" s="9" t="n"/>
      <c r="F302" s="10" t="n"/>
      <c r="H302" t="inlineStr">
        <is>
          <t>SIM</t>
        </is>
      </c>
      <c r="I302" t="inlineStr">
        <is>
          <t>SIM</t>
        </is>
      </c>
    </row>
    <row r="303">
      <c r="E303" s="9" t="n"/>
      <c r="F303" s="10" t="n"/>
      <c r="H303" t="inlineStr">
        <is>
          <t>SIM</t>
        </is>
      </c>
      <c r="I303" t="inlineStr">
        <is>
          <t>SIM</t>
        </is>
      </c>
    </row>
    <row r="304">
      <c r="E304" s="9" t="n"/>
      <c r="F304" s="10" t="n"/>
      <c r="H304" t="inlineStr">
        <is>
          <t>SIM</t>
        </is>
      </c>
      <c r="I304" t="inlineStr">
        <is>
          <t>SIM</t>
        </is>
      </c>
    </row>
    <row r="305">
      <c r="E305" s="9" t="n"/>
      <c r="F305" s="10" t="n"/>
      <c r="H305" t="inlineStr">
        <is>
          <t>SIM</t>
        </is>
      </c>
      <c r="I305" t="inlineStr">
        <is>
          <t>SIM</t>
        </is>
      </c>
    </row>
    <row r="306">
      <c r="E306" s="9" t="n"/>
      <c r="F306" s="10" t="n"/>
      <c r="H306" t="inlineStr">
        <is>
          <t>SIM</t>
        </is>
      </c>
      <c r="I306" t="inlineStr">
        <is>
          <t>SIM</t>
        </is>
      </c>
    </row>
    <row r="307">
      <c r="E307" s="9" t="n"/>
      <c r="F307" s="10" t="n"/>
      <c r="H307" t="inlineStr">
        <is>
          <t>SIM</t>
        </is>
      </c>
      <c r="I307" t="inlineStr">
        <is>
          <t>SIM</t>
        </is>
      </c>
    </row>
    <row r="308">
      <c r="E308" s="9" t="n"/>
      <c r="F308" s="10" t="n"/>
      <c r="H308" t="inlineStr">
        <is>
          <t>SIM</t>
        </is>
      </c>
      <c r="I308" t="inlineStr">
        <is>
          <t>SIM</t>
        </is>
      </c>
    </row>
    <row r="309">
      <c r="E309" s="9" t="n"/>
      <c r="F309" s="10" t="n"/>
      <c r="H309" t="inlineStr">
        <is>
          <t>SIM</t>
        </is>
      </c>
      <c r="I309" t="inlineStr">
        <is>
          <t>SIM</t>
        </is>
      </c>
    </row>
    <row r="310">
      <c r="E310" s="9" t="n"/>
      <c r="F310" s="10" t="n"/>
      <c r="H310" t="inlineStr">
        <is>
          <t>SIM</t>
        </is>
      </c>
      <c r="I310" t="inlineStr">
        <is>
          <t>SIM</t>
        </is>
      </c>
    </row>
    <row r="311">
      <c r="E311" s="9" t="n"/>
      <c r="F311" s="10" t="n"/>
      <c r="H311" t="inlineStr">
        <is>
          <t>SIM</t>
        </is>
      </c>
      <c r="I311" t="inlineStr">
        <is>
          <t>SIM</t>
        </is>
      </c>
    </row>
    <row r="312">
      <c r="E312" s="9" t="n"/>
      <c r="F312" s="10" t="n"/>
      <c r="H312" t="inlineStr">
        <is>
          <t>SIM</t>
        </is>
      </c>
      <c r="I312" t="inlineStr">
        <is>
          <t>SIM</t>
        </is>
      </c>
    </row>
    <row r="313">
      <c r="E313" s="9" t="n"/>
      <c r="F313" s="10" t="n"/>
      <c r="H313" t="inlineStr">
        <is>
          <t>SIM</t>
        </is>
      </c>
      <c r="I313" t="inlineStr">
        <is>
          <t>SIM</t>
        </is>
      </c>
    </row>
    <row r="314">
      <c r="E314" s="9" t="n"/>
      <c r="F314" s="10" t="n"/>
      <c r="H314" t="inlineStr">
        <is>
          <t>SIM</t>
        </is>
      </c>
      <c r="I314" t="inlineStr">
        <is>
          <t>SIM</t>
        </is>
      </c>
    </row>
    <row r="315">
      <c r="E315" s="9" t="n"/>
      <c r="F315" s="10" t="n"/>
      <c r="H315" t="inlineStr">
        <is>
          <t>SIM</t>
        </is>
      </c>
      <c r="I315" t="inlineStr">
        <is>
          <t>SIM</t>
        </is>
      </c>
    </row>
    <row r="316">
      <c r="E316" s="9" t="n"/>
      <c r="F316" s="10" t="n"/>
      <c r="H316" t="inlineStr">
        <is>
          <t>SIM</t>
        </is>
      </c>
      <c r="I316" t="inlineStr">
        <is>
          <t>SIM</t>
        </is>
      </c>
    </row>
    <row r="317">
      <c r="E317" s="9" t="n"/>
      <c r="F317" s="10" t="n"/>
      <c r="H317" t="inlineStr">
        <is>
          <t>SIM</t>
        </is>
      </c>
      <c r="I317" t="inlineStr">
        <is>
          <t>SIM</t>
        </is>
      </c>
    </row>
    <row r="318">
      <c r="E318" s="9" t="n"/>
      <c r="F318" s="10" t="n"/>
      <c r="H318" t="inlineStr">
        <is>
          <t>SIM</t>
        </is>
      </c>
      <c r="I318" t="inlineStr">
        <is>
          <t>SIM</t>
        </is>
      </c>
    </row>
    <row r="319">
      <c r="E319" s="9" t="n"/>
      <c r="F319" s="10" t="n"/>
      <c r="H319" t="inlineStr">
        <is>
          <t>SIM</t>
        </is>
      </c>
      <c r="I319" t="inlineStr">
        <is>
          <t>SIM</t>
        </is>
      </c>
    </row>
    <row r="320">
      <c r="E320" s="9" t="n"/>
      <c r="F320" s="10" t="n"/>
      <c r="H320" t="inlineStr">
        <is>
          <t>SIM</t>
        </is>
      </c>
      <c r="I320" t="inlineStr">
        <is>
          <t>SIM</t>
        </is>
      </c>
    </row>
    <row r="321">
      <c r="E321" s="9" t="n"/>
      <c r="F321" s="10" t="n"/>
      <c r="H321" t="inlineStr">
        <is>
          <t>SIM</t>
        </is>
      </c>
      <c r="I321" t="inlineStr">
        <is>
          <t>SIM</t>
        </is>
      </c>
    </row>
    <row r="322">
      <c r="E322" s="9" t="n"/>
      <c r="F322" s="10" t="n"/>
      <c r="H322" t="inlineStr">
        <is>
          <t>SIM</t>
        </is>
      </c>
      <c r="I322" t="inlineStr">
        <is>
          <t>SIM</t>
        </is>
      </c>
    </row>
    <row r="323">
      <c r="E323" s="9" t="n"/>
      <c r="F323" s="10" t="n"/>
      <c r="H323" t="inlineStr">
        <is>
          <t>SIM</t>
        </is>
      </c>
      <c r="I323" t="inlineStr">
        <is>
          <t>SIM</t>
        </is>
      </c>
    </row>
    <row r="324">
      <c r="E324" s="9" t="n"/>
      <c r="F324" s="10" t="n"/>
      <c r="H324" t="inlineStr">
        <is>
          <t>SIM</t>
        </is>
      </c>
      <c r="I324" t="inlineStr">
        <is>
          <t>SIM</t>
        </is>
      </c>
    </row>
    <row r="325">
      <c r="E325" s="9" t="n"/>
      <c r="F325" s="10" t="n"/>
      <c r="H325" t="inlineStr">
        <is>
          <t>SIM</t>
        </is>
      </c>
      <c r="I325" t="inlineStr">
        <is>
          <t>SIM</t>
        </is>
      </c>
    </row>
    <row r="326">
      <c r="E326" s="9" t="n"/>
      <c r="F326" s="10" t="n"/>
      <c r="H326" t="inlineStr">
        <is>
          <t>SIM</t>
        </is>
      </c>
      <c r="I326" t="inlineStr">
        <is>
          <t>SIM</t>
        </is>
      </c>
    </row>
    <row r="327">
      <c r="E327" s="9" t="n"/>
      <c r="F327" s="10" t="n"/>
      <c r="H327" t="inlineStr">
        <is>
          <t>SIM</t>
        </is>
      </c>
      <c r="I327" t="inlineStr">
        <is>
          <t>SIM</t>
        </is>
      </c>
    </row>
    <row r="328">
      <c r="E328" s="9" t="n"/>
      <c r="F328" s="10" t="n"/>
      <c r="H328" t="inlineStr">
        <is>
          <t>SIM</t>
        </is>
      </c>
      <c r="I328" t="inlineStr">
        <is>
          <t>SIM</t>
        </is>
      </c>
    </row>
    <row r="329">
      <c r="E329" s="9" t="n"/>
      <c r="F329" s="10" t="n"/>
      <c r="H329" t="inlineStr">
        <is>
          <t>SIM</t>
        </is>
      </c>
      <c r="I329" t="inlineStr">
        <is>
          <t>SIM</t>
        </is>
      </c>
    </row>
    <row r="330">
      <c r="E330" s="9" t="n"/>
      <c r="F330" s="10" t="n"/>
      <c r="H330" t="inlineStr">
        <is>
          <t>SIM</t>
        </is>
      </c>
      <c r="I330" t="inlineStr">
        <is>
          <t>SIM</t>
        </is>
      </c>
    </row>
    <row r="331">
      <c r="E331" s="9" t="n"/>
      <c r="F331" s="10" t="n"/>
      <c r="H331" t="inlineStr">
        <is>
          <t>SIM</t>
        </is>
      </c>
      <c r="I331" t="inlineStr">
        <is>
          <t>SIM</t>
        </is>
      </c>
    </row>
    <row r="332">
      <c r="E332" s="9" t="n"/>
      <c r="F332" s="10" t="n"/>
      <c r="H332" t="inlineStr">
        <is>
          <t>SIM</t>
        </is>
      </c>
      <c r="I332" t="inlineStr">
        <is>
          <t>SIM</t>
        </is>
      </c>
    </row>
    <row r="333">
      <c r="E333" s="9" t="n"/>
      <c r="F333" s="10" t="n"/>
      <c r="H333" t="inlineStr">
        <is>
          <t>SIM</t>
        </is>
      </c>
      <c r="I333" t="inlineStr">
        <is>
          <t>SIM</t>
        </is>
      </c>
    </row>
    <row r="334">
      <c r="E334" s="9" t="n"/>
      <c r="F334" s="10" t="n"/>
      <c r="H334" t="inlineStr">
        <is>
          <t>SIM</t>
        </is>
      </c>
      <c r="I334" t="inlineStr">
        <is>
          <t>SIM</t>
        </is>
      </c>
    </row>
    <row r="335">
      <c r="E335" s="9" t="n"/>
      <c r="F335" s="10" t="n"/>
      <c r="H335" t="inlineStr">
        <is>
          <t>SIM</t>
        </is>
      </c>
      <c r="I335" t="inlineStr">
        <is>
          <t>SIM</t>
        </is>
      </c>
    </row>
    <row r="336">
      <c r="E336" s="9" t="n"/>
      <c r="F336" s="10" t="n"/>
      <c r="H336" t="inlineStr">
        <is>
          <t>SIM</t>
        </is>
      </c>
      <c r="I336" t="inlineStr">
        <is>
          <t>SIM</t>
        </is>
      </c>
    </row>
    <row r="337">
      <c r="E337" s="9" t="n"/>
      <c r="F337" s="10" t="n"/>
      <c r="H337" t="inlineStr">
        <is>
          <t>SIM</t>
        </is>
      </c>
      <c r="I337" t="inlineStr">
        <is>
          <t>SIM</t>
        </is>
      </c>
    </row>
    <row r="338">
      <c r="E338" s="9" t="n"/>
      <c r="F338" s="10" t="n"/>
      <c r="H338" t="inlineStr">
        <is>
          <t>SIM</t>
        </is>
      </c>
      <c r="I338" t="inlineStr">
        <is>
          <t>SIM</t>
        </is>
      </c>
    </row>
    <row r="339">
      <c r="E339" s="9" t="n"/>
      <c r="F339" s="10" t="n"/>
      <c r="H339" t="inlineStr">
        <is>
          <t>SIM</t>
        </is>
      </c>
      <c r="I339" t="inlineStr">
        <is>
          <t>SIM</t>
        </is>
      </c>
    </row>
    <row r="340">
      <c r="E340" s="9" t="n"/>
      <c r="F340" s="10" t="n"/>
      <c r="H340" t="inlineStr">
        <is>
          <t>SIM</t>
        </is>
      </c>
      <c r="I340" t="inlineStr">
        <is>
          <t>SIM</t>
        </is>
      </c>
    </row>
    <row r="341">
      <c r="E341" s="9" t="n"/>
      <c r="F341" s="10" t="n"/>
      <c r="H341" t="inlineStr">
        <is>
          <t>SIM</t>
        </is>
      </c>
      <c r="I341" t="inlineStr">
        <is>
          <t>SIM</t>
        </is>
      </c>
    </row>
    <row r="342">
      <c r="E342" s="9" t="n"/>
      <c r="F342" s="10" t="n"/>
      <c r="H342" t="inlineStr">
        <is>
          <t>SIM</t>
        </is>
      </c>
      <c r="I342" t="inlineStr">
        <is>
          <t>SIM</t>
        </is>
      </c>
    </row>
    <row r="343">
      <c r="E343" s="9" t="n"/>
      <c r="F343" s="10" t="n"/>
      <c r="H343" t="inlineStr">
        <is>
          <t>SIM</t>
        </is>
      </c>
      <c r="I343" t="inlineStr">
        <is>
          <t>SIM</t>
        </is>
      </c>
    </row>
    <row r="344">
      <c r="E344" s="9" t="n"/>
      <c r="F344" s="10" t="n"/>
      <c r="H344" t="inlineStr">
        <is>
          <t>SIM</t>
        </is>
      </c>
      <c r="I344" t="inlineStr">
        <is>
          <t>SIM</t>
        </is>
      </c>
    </row>
    <row r="345">
      <c r="E345" s="9" t="n"/>
      <c r="F345" s="10" t="n"/>
      <c r="H345" t="inlineStr">
        <is>
          <t>SIM</t>
        </is>
      </c>
      <c r="I345" t="inlineStr">
        <is>
          <t>SIM</t>
        </is>
      </c>
    </row>
    <row r="346">
      <c r="E346" s="9" t="n"/>
      <c r="F346" s="10" t="n"/>
      <c r="H346" t="inlineStr">
        <is>
          <t>SIM</t>
        </is>
      </c>
      <c r="I346" t="inlineStr">
        <is>
          <t>SIM</t>
        </is>
      </c>
    </row>
    <row r="347">
      <c r="E347" s="9" t="n"/>
      <c r="F347" s="10" t="n"/>
      <c r="H347" t="inlineStr">
        <is>
          <t>SIM</t>
        </is>
      </c>
      <c r="I347" t="inlineStr">
        <is>
          <t>SIM</t>
        </is>
      </c>
    </row>
    <row r="348">
      <c r="E348" s="9" t="n"/>
      <c r="F348" s="10" t="n"/>
      <c r="H348" t="inlineStr">
        <is>
          <t>SIM</t>
        </is>
      </c>
      <c r="I348" t="inlineStr">
        <is>
          <t>SIM</t>
        </is>
      </c>
    </row>
    <row r="349">
      <c r="E349" s="9" t="n"/>
      <c r="F349" s="10" t="n"/>
      <c r="H349" t="inlineStr">
        <is>
          <t>SIM</t>
        </is>
      </c>
      <c r="I349" t="inlineStr">
        <is>
          <t>SIM</t>
        </is>
      </c>
    </row>
    <row r="350">
      <c r="E350" s="9" t="n"/>
      <c r="F350" s="10" t="n"/>
      <c r="H350" t="inlineStr">
        <is>
          <t>SIM</t>
        </is>
      </c>
      <c r="I350" t="inlineStr">
        <is>
          <t>SIM</t>
        </is>
      </c>
    </row>
    <row r="351">
      <c r="E351" s="9" t="n"/>
      <c r="F351" s="10" t="n"/>
      <c r="H351" t="inlineStr">
        <is>
          <t>SIM</t>
        </is>
      </c>
      <c r="I351" t="inlineStr">
        <is>
          <t>SIM</t>
        </is>
      </c>
    </row>
    <row r="352">
      <c r="E352" s="9" t="n"/>
      <c r="F352" s="10" t="n"/>
      <c r="H352" t="inlineStr">
        <is>
          <t>SIM</t>
        </is>
      </c>
      <c r="I352" t="inlineStr">
        <is>
          <t>SIM</t>
        </is>
      </c>
    </row>
    <row r="353">
      <c r="E353" s="9" t="n"/>
      <c r="F353" s="10" t="n"/>
      <c r="H353" t="inlineStr">
        <is>
          <t>SIM</t>
        </is>
      </c>
      <c r="I353" t="inlineStr">
        <is>
          <t>SIM</t>
        </is>
      </c>
    </row>
    <row r="354">
      <c r="E354" s="9" t="n"/>
      <c r="F354" s="10" t="n"/>
      <c r="H354" t="inlineStr">
        <is>
          <t>SIM</t>
        </is>
      </c>
      <c r="I354" t="inlineStr">
        <is>
          <t>SIM</t>
        </is>
      </c>
    </row>
    <row r="355">
      <c r="E355" s="9" t="n"/>
      <c r="F355" s="10" t="n"/>
      <c r="H355" t="inlineStr">
        <is>
          <t>SIM</t>
        </is>
      </c>
      <c r="I355" t="inlineStr">
        <is>
          <t>SIM</t>
        </is>
      </c>
    </row>
    <row r="356">
      <c r="E356" s="9" t="n"/>
      <c r="F356" s="10" t="n"/>
      <c r="H356" t="inlineStr">
        <is>
          <t>SIM</t>
        </is>
      </c>
      <c r="I356" t="inlineStr">
        <is>
          <t>SIM</t>
        </is>
      </c>
    </row>
    <row r="357">
      <c r="E357" s="9" t="n"/>
      <c r="F357" s="10" t="n"/>
      <c r="H357" t="inlineStr">
        <is>
          <t>SIM</t>
        </is>
      </c>
      <c r="I357" t="inlineStr">
        <is>
          <t>SIM</t>
        </is>
      </c>
    </row>
    <row r="358">
      <c r="E358" s="9" t="n"/>
      <c r="F358" s="10" t="n"/>
      <c r="H358" t="inlineStr">
        <is>
          <t>SIM</t>
        </is>
      </c>
      <c r="I358" t="inlineStr">
        <is>
          <t>SIM</t>
        </is>
      </c>
    </row>
    <row r="359">
      <c r="E359" s="9" t="n"/>
      <c r="F359" s="10" t="n"/>
      <c r="H359" t="inlineStr">
        <is>
          <t>SIM</t>
        </is>
      </c>
      <c r="I359" t="inlineStr">
        <is>
          <t>SIM</t>
        </is>
      </c>
    </row>
    <row r="360">
      <c r="E360" s="9" t="n"/>
      <c r="F360" s="10" t="n"/>
      <c r="H360" t="inlineStr">
        <is>
          <t>SIM</t>
        </is>
      </c>
      <c r="I360" t="inlineStr">
        <is>
          <t>SIM</t>
        </is>
      </c>
    </row>
    <row r="361">
      <c r="E361" s="9" t="n"/>
      <c r="F361" s="10" t="n"/>
      <c r="H361" t="inlineStr">
        <is>
          <t>SIM</t>
        </is>
      </c>
      <c r="I361" t="inlineStr">
        <is>
          <t>SIM</t>
        </is>
      </c>
    </row>
    <row r="362">
      <c r="E362" s="9" t="n"/>
      <c r="F362" s="10" t="n"/>
      <c r="H362" t="inlineStr">
        <is>
          <t>SIM</t>
        </is>
      </c>
      <c r="I362" t="inlineStr">
        <is>
          <t>SIM</t>
        </is>
      </c>
    </row>
    <row r="363">
      <c r="E363" s="9" t="n"/>
      <c r="F363" s="10" t="n"/>
      <c r="H363" t="inlineStr">
        <is>
          <t>SIM</t>
        </is>
      </c>
      <c r="I363" t="inlineStr">
        <is>
          <t>SIM</t>
        </is>
      </c>
    </row>
    <row r="364">
      <c r="E364" s="9" t="n"/>
      <c r="F364" s="10" t="n"/>
      <c r="H364" t="inlineStr">
        <is>
          <t>SIM</t>
        </is>
      </c>
      <c r="I364" t="inlineStr">
        <is>
          <t>SIM</t>
        </is>
      </c>
    </row>
    <row r="365">
      <c r="E365" s="9" t="n"/>
      <c r="F365" s="10" t="n"/>
      <c r="H365" t="inlineStr">
        <is>
          <t>SIM</t>
        </is>
      </c>
      <c r="I365" t="inlineStr">
        <is>
          <t>SIM</t>
        </is>
      </c>
    </row>
    <row r="366">
      <c r="E366" s="9" t="n"/>
      <c r="F366" s="10" t="n"/>
      <c r="H366" t="inlineStr">
        <is>
          <t>SIM</t>
        </is>
      </c>
      <c r="I366" t="inlineStr">
        <is>
          <t>SIM</t>
        </is>
      </c>
    </row>
    <row r="367">
      <c r="E367" s="9" t="n"/>
      <c r="F367" s="10" t="n"/>
      <c r="H367" t="inlineStr">
        <is>
          <t>SIM</t>
        </is>
      </c>
      <c r="I367" t="inlineStr">
        <is>
          <t>SIM</t>
        </is>
      </c>
    </row>
    <row r="368">
      <c r="E368" s="9" t="n"/>
      <c r="F368" s="10" t="n"/>
      <c r="H368" t="inlineStr">
        <is>
          <t>SIM</t>
        </is>
      </c>
      <c r="I368" t="inlineStr">
        <is>
          <t>SIM</t>
        </is>
      </c>
    </row>
    <row r="369">
      <c r="E369" s="9" t="n"/>
      <c r="F369" s="10" t="n"/>
      <c r="H369" t="inlineStr">
        <is>
          <t>SIM</t>
        </is>
      </c>
      <c r="I369" t="inlineStr">
        <is>
          <t>SIM</t>
        </is>
      </c>
    </row>
    <row r="370">
      <c r="E370" s="9" t="n"/>
      <c r="F370" s="10" t="n"/>
      <c r="H370" t="inlineStr">
        <is>
          <t>SIM</t>
        </is>
      </c>
      <c r="I370" t="inlineStr">
        <is>
          <t>SIM</t>
        </is>
      </c>
    </row>
    <row r="371">
      <c r="E371" s="9" t="n"/>
      <c r="F371" s="10" t="n"/>
      <c r="H371" t="inlineStr">
        <is>
          <t>SIM</t>
        </is>
      </c>
      <c r="I371" t="inlineStr">
        <is>
          <t>SIM</t>
        </is>
      </c>
    </row>
    <row r="372">
      <c r="E372" s="9" t="n"/>
      <c r="F372" s="10" t="n"/>
      <c r="H372" t="inlineStr">
        <is>
          <t>SIM</t>
        </is>
      </c>
      <c r="I372" t="inlineStr">
        <is>
          <t>SIM</t>
        </is>
      </c>
    </row>
    <row r="373">
      <c r="E373" s="9" t="n"/>
      <c r="F373" s="10" t="n"/>
      <c r="H373" t="inlineStr">
        <is>
          <t>SIM</t>
        </is>
      </c>
      <c r="I373" t="inlineStr">
        <is>
          <t>SIM</t>
        </is>
      </c>
    </row>
    <row r="374">
      <c r="E374" s="9" t="n"/>
      <c r="F374" s="10" t="n"/>
      <c r="H374" t="inlineStr">
        <is>
          <t>SIM</t>
        </is>
      </c>
      <c r="I374" t="inlineStr">
        <is>
          <t>SIM</t>
        </is>
      </c>
    </row>
    <row r="375">
      <c r="E375" s="9" t="n"/>
      <c r="F375" s="10" t="n"/>
      <c r="H375" t="inlineStr">
        <is>
          <t>SIM</t>
        </is>
      </c>
      <c r="I375" t="inlineStr">
        <is>
          <t>SIM</t>
        </is>
      </c>
    </row>
    <row r="376">
      <c r="E376" s="9" t="n"/>
      <c r="F376" s="10" t="n"/>
      <c r="H376" t="inlineStr">
        <is>
          <t>SIM</t>
        </is>
      </c>
      <c r="I376" t="inlineStr">
        <is>
          <t>SIM</t>
        </is>
      </c>
    </row>
    <row r="377">
      <c r="E377" s="9" t="n"/>
      <c r="F377" s="10" t="n"/>
      <c r="H377" t="inlineStr">
        <is>
          <t>SIM</t>
        </is>
      </c>
      <c r="I377" t="inlineStr">
        <is>
          <t>SIM</t>
        </is>
      </c>
    </row>
    <row r="378">
      <c r="E378" s="9" t="n"/>
      <c r="F378" s="10" t="n"/>
      <c r="H378" t="inlineStr">
        <is>
          <t>SIM</t>
        </is>
      </c>
      <c r="I378" t="inlineStr">
        <is>
          <t>SIM</t>
        </is>
      </c>
    </row>
    <row r="379">
      <c r="E379" s="9" t="n"/>
      <c r="F379" s="10" t="n"/>
      <c r="H379" t="inlineStr">
        <is>
          <t>SIM</t>
        </is>
      </c>
      <c r="I379" t="inlineStr">
        <is>
          <t>SIM</t>
        </is>
      </c>
    </row>
    <row r="380">
      <c r="E380" s="9" t="n"/>
      <c r="F380" s="10" t="n"/>
      <c r="H380" t="inlineStr">
        <is>
          <t>SIM</t>
        </is>
      </c>
      <c r="I380" t="inlineStr">
        <is>
          <t>SIM</t>
        </is>
      </c>
    </row>
    <row r="381">
      <c r="E381" s="9" t="n"/>
      <c r="F381" s="10" t="n"/>
      <c r="H381" t="inlineStr">
        <is>
          <t>SIM</t>
        </is>
      </c>
      <c r="I381" t="inlineStr">
        <is>
          <t>SIM</t>
        </is>
      </c>
    </row>
    <row r="382">
      <c r="E382" s="9" t="n"/>
      <c r="F382" s="10" t="n"/>
      <c r="H382" t="inlineStr">
        <is>
          <t>SIM</t>
        </is>
      </c>
      <c r="I382" t="inlineStr">
        <is>
          <t>SIM</t>
        </is>
      </c>
    </row>
    <row r="383">
      <c r="E383" s="9" t="n"/>
      <c r="F383" s="10" t="n"/>
      <c r="H383" t="inlineStr">
        <is>
          <t>SIM</t>
        </is>
      </c>
      <c r="I383" t="inlineStr">
        <is>
          <t>SIM</t>
        </is>
      </c>
    </row>
    <row r="384">
      <c r="E384" s="9" t="n"/>
      <c r="F384" s="10" t="n"/>
      <c r="H384" t="inlineStr">
        <is>
          <t>SIM</t>
        </is>
      </c>
      <c r="I384" t="inlineStr">
        <is>
          <t>SIM</t>
        </is>
      </c>
    </row>
    <row r="385">
      <c r="E385" s="9" t="n"/>
      <c r="F385" s="10" t="n"/>
      <c r="H385" t="inlineStr">
        <is>
          <t>SIM</t>
        </is>
      </c>
      <c r="I385" t="inlineStr">
        <is>
          <t>SIM</t>
        </is>
      </c>
    </row>
    <row r="386">
      <c r="E386" s="9" t="n"/>
      <c r="F386" s="10" t="n"/>
      <c r="H386" t="inlineStr">
        <is>
          <t>SIM</t>
        </is>
      </c>
      <c r="I386" t="inlineStr">
        <is>
          <t>SIM</t>
        </is>
      </c>
    </row>
    <row r="387">
      <c r="E387" s="9" t="n"/>
      <c r="F387" s="10" t="n"/>
      <c r="H387" t="inlineStr">
        <is>
          <t>SIM</t>
        </is>
      </c>
      <c r="I387" t="inlineStr">
        <is>
          <t>SIM</t>
        </is>
      </c>
    </row>
    <row r="388">
      <c r="E388" s="9" t="n"/>
      <c r="F388" s="10" t="n"/>
      <c r="H388" t="inlineStr">
        <is>
          <t>SIM</t>
        </is>
      </c>
      <c r="I388" t="inlineStr">
        <is>
          <t>SIM</t>
        </is>
      </c>
    </row>
    <row r="389">
      <c r="E389" s="9" t="n"/>
      <c r="F389" s="10" t="n"/>
      <c r="H389" t="inlineStr">
        <is>
          <t>SIM</t>
        </is>
      </c>
      <c r="I389" t="inlineStr">
        <is>
          <t>SIM</t>
        </is>
      </c>
    </row>
    <row r="390">
      <c r="E390" s="9" t="n"/>
      <c r="F390" s="10" t="n"/>
      <c r="H390" t="inlineStr">
        <is>
          <t>SIM</t>
        </is>
      </c>
      <c r="I390" t="inlineStr">
        <is>
          <t>SIM</t>
        </is>
      </c>
    </row>
    <row r="391">
      <c r="E391" s="9" t="n"/>
      <c r="F391" s="10" t="n"/>
      <c r="H391" t="inlineStr">
        <is>
          <t>SIM</t>
        </is>
      </c>
      <c r="I391" t="inlineStr">
        <is>
          <t>SIM</t>
        </is>
      </c>
    </row>
    <row r="392">
      <c r="E392" s="9" t="n"/>
      <c r="F392" s="10" t="n"/>
      <c r="H392" t="inlineStr">
        <is>
          <t>SIM</t>
        </is>
      </c>
      <c r="I392" t="inlineStr">
        <is>
          <t>SIM</t>
        </is>
      </c>
    </row>
    <row r="393">
      <c r="E393" s="9" t="n"/>
      <c r="F393" s="10" t="n"/>
      <c r="H393" t="inlineStr">
        <is>
          <t>SIM</t>
        </is>
      </c>
      <c r="I393" t="inlineStr">
        <is>
          <t>SIM</t>
        </is>
      </c>
    </row>
    <row r="394">
      <c r="E394" s="9" t="n"/>
      <c r="F394" s="10" t="n"/>
      <c r="H394" t="inlineStr">
        <is>
          <t>SIM</t>
        </is>
      </c>
      <c r="I394" t="inlineStr">
        <is>
          <t>SIM</t>
        </is>
      </c>
    </row>
    <row r="395">
      <c r="E395" s="9" t="n"/>
      <c r="F395" s="10" t="n"/>
      <c r="H395" t="inlineStr">
        <is>
          <t>SIM</t>
        </is>
      </c>
      <c r="I395" t="inlineStr">
        <is>
          <t>SIM</t>
        </is>
      </c>
    </row>
    <row r="396">
      <c r="E396" s="9" t="n"/>
      <c r="F396" s="10" t="n"/>
      <c r="H396" t="inlineStr">
        <is>
          <t>SIM</t>
        </is>
      </c>
      <c r="I396" t="inlineStr">
        <is>
          <t>SIM</t>
        </is>
      </c>
    </row>
    <row r="397">
      <c r="E397" s="9" t="n"/>
      <c r="F397" s="10" t="n"/>
      <c r="H397" t="inlineStr">
        <is>
          <t>SIM</t>
        </is>
      </c>
      <c r="I397" t="inlineStr">
        <is>
          <t>SIM</t>
        </is>
      </c>
    </row>
    <row r="398">
      <c r="E398" s="9" t="n"/>
      <c r="F398" s="10" t="n"/>
      <c r="H398" t="inlineStr">
        <is>
          <t>SIM</t>
        </is>
      </c>
      <c r="I398" t="inlineStr">
        <is>
          <t>SIM</t>
        </is>
      </c>
    </row>
    <row r="399">
      <c r="E399" s="9" t="n"/>
      <c r="F399" s="10" t="n"/>
      <c r="H399" t="inlineStr">
        <is>
          <t>SIM</t>
        </is>
      </c>
      <c r="I399" t="inlineStr">
        <is>
          <t>SIM</t>
        </is>
      </c>
    </row>
    <row r="400">
      <c r="E400" s="9" t="n"/>
      <c r="F400" s="10" t="n"/>
      <c r="H400" t="inlineStr">
        <is>
          <t>SIM</t>
        </is>
      </c>
      <c r="I400" t="inlineStr">
        <is>
          <t>SIM</t>
        </is>
      </c>
    </row>
    <row r="401">
      <c r="E401" s="9" t="n"/>
      <c r="F401" s="10" t="n"/>
      <c r="H401" t="inlineStr">
        <is>
          <t>SIM</t>
        </is>
      </c>
      <c r="I401" t="inlineStr">
        <is>
          <t>SIM</t>
        </is>
      </c>
    </row>
    <row r="402">
      <c r="E402" s="9" t="n"/>
      <c r="F402" s="10" t="n"/>
      <c r="H402" t="inlineStr">
        <is>
          <t>SIM</t>
        </is>
      </c>
      <c r="I402" t="inlineStr">
        <is>
          <t>SIM</t>
        </is>
      </c>
    </row>
    <row r="403">
      <c r="E403" s="9" t="n"/>
      <c r="F403" s="10" t="n"/>
      <c r="H403" t="inlineStr">
        <is>
          <t>SIM</t>
        </is>
      </c>
      <c r="I403" t="inlineStr">
        <is>
          <t>SIM</t>
        </is>
      </c>
    </row>
    <row r="404">
      <c r="E404" s="9" t="n"/>
      <c r="F404" s="10" t="n"/>
      <c r="H404" t="inlineStr">
        <is>
          <t>SIM</t>
        </is>
      </c>
      <c r="I404" t="inlineStr">
        <is>
          <t>SIM</t>
        </is>
      </c>
    </row>
    <row r="405">
      <c r="E405" s="9" t="n"/>
      <c r="F405" s="10" t="n"/>
      <c r="H405" t="inlineStr">
        <is>
          <t>SIM</t>
        </is>
      </c>
      <c r="I405" t="inlineStr">
        <is>
          <t>SIM</t>
        </is>
      </c>
    </row>
    <row r="406">
      <c r="E406" s="9" t="n"/>
      <c r="F406" s="10" t="n"/>
      <c r="H406" t="inlineStr">
        <is>
          <t>SIM</t>
        </is>
      </c>
      <c r="I406" t="inlineStr">
        <is>
          <t>SIM</t>
        </is>
      </c>
    </row>
    <row r="407">
      <c r="E407" s="9" t="n"/>
      <c r="F407" s="10" t="n"/>
      <c r="H407" t="inlineStr">
        <is>
          <t>SIM</t>
        </is>
      </c>
      <c r="I407" t="inlineStr">
        <is>
          <t>SIM</t>
        </is>
      </c>
    </row>
    <row r="408">
      <c r="E408" s="9" t="n"/>
      <c r="F408" s="10" t="n"/>
      <c r="H408" t="inlineStr">
        <is>
          <t>SIM</t>
        </is>
      </c>
      <c r="I408" t="inlineStr">
        <is>
          <t>SIM</t>
        </is>
      </c>
    </row>
    <row r="409">
      <c r="E409" s="9" t="n"/>
      <c r="F409" s="10" t="n"/>
      <c r="H409" t="inlineStr">
        <is>
          <t>SIM</t>
        </is>
      </c>
      <c r="I409" t="inlineStr">
        <is>
          <t>SIM</t>
        </is>
      </c>
    </row>
    <row r="410">
      <c r="E410" s="9" t="n"/>
      <c r="F410" s="10" t="n"/>
      <c r="H410" t="inlineStr">
        <is>
          <t>SIM</t>
        </is>
      </c>
      <c r="I410" t="inlineStr">
        <is>
          <t>SIM</t>
        </is>
      </c>
    </row>
    <row r="411">
      <c r="E411" s="9" t="n"/>
      <c r="F411" s="10" t="n"/>
      <c r="H411" t="inlineStr">
        <is>
          <t>SIM</t>
        </is>
      </c>
      <c r="I411" t="inlineStr">
        <is>
          <t>SIM</t>
        </is>
      </c>
    </row>
    <row r="412">
      <c r="E412" s="9" t="n"/>
      <c r="F412" s="10" t="n"/>
      <c r="H412" t="inlineStr">
        <is>
          <t>SIM</t>
        </is>
      </c>
      <c r="I412" t="inlineStr">
        <is>
          <t>SIM</t>
        </is>
      </c>
    </row>
    <row r="413">
      <c r="E413" s="9" t="n"/>
      <c r="F413" s="10" t="n"/>
      <c r="H413" t="inlineStr">
        <is>
          <t>SIM</t>
        </is>
      </c>
      <c r="I413" t="inlineStr">
        <is>
          <t>SIM</t>
        </is>
      </c>
    </row>
    <row r="414">
      <c r="E414" s="9" t="n"/>
      <c r="F414" s="10" t="n"/>
      <c r="H414" t="inlineStr">
        <is>
          <t>SIM</t>
        </is>
      </c>
      <c r="I414" t="inlineStr">
        <is>
          <t>SIM</t>
        </is>
      </c>
    </row>
    <row r="415">
      <c r="E415" s="9" t="n"/>
      <c r="F415" s="10" t="n"/>
      <c r="H415" t="inlineStr">
        <is>
          <t>SIM</t>
        </is>
      </c>
      <c r="I415" t="inlineStr">
        <is>
          <t>SIM</t>
        </is>
      </c>
    </row>
    <row r="416">
      <c r="E416" s="9" t="n"/>
      <c r="F416" s="10" t="n"/>
      <c r="H416" t="inlineStr">
        <is>
          <t>SIM</t>
        </is>
      </c>
      <c r="I416" t="inlineStr">
        <is>
          <t>SIM</t>
        </is>
      </c>
    </row>
    <row r="417">
      <c r="E417" s="9" t="n"/>
      <c r="F417" s="10" t="n"/>
      <c r="H417" t="inlineStr">
        <is>
          <t>SIM</t>
        </is>
      </c>
      <c r="I417" t="inlineStr">
        <is>
          <t>SIM</t>
        </is>
      </c>
    </row>
    <row r="418">
      <c r="E418" s="9" t="n"/>
      <c r="F418" s="10" t="n"/>
      <c r="H418" t="inlineStr">
        <is>
          <t>SIM</t>
        </is>
      </c>
      <c r="I418" t="inlineStr">
        <is>
          <t>SIM</t>
        </is>
      </c>
    </row>
    <row r="419">
      <c r="E419" s="9" t="n"/>
      <c r="F419" s="10" t="n"/>
      <c r="H419" t="inlineStr">
        <is>
          <t>SIM</t>
        </is>
      </c>
      <c r="I419" t="inlineStr">
        <is>
          <t>SIM</t>
        </is>
      </c>
    </row>
    <row r="420">
      <c r="E420" s="9" t="n"/>
      <c r="F420" s="10" t="n"/>
      <c r="H420" t="inlineStr">
        <is>
          <t>SIM</t>
        </is>
      </c>
      <c r="I420" t="inlineStr">
        <is>
          <t>SIM</t>
        </is>
      </c>
    </row>
    <row r="421">
      <c r="E421" s="9" t="n"/>
      <c r="F421" s="10" t="n"/>
      <c r="H421" t="inlineStr">
        <is>
          <t>SIM</t>
        </is>
      </c>
      <c r="I421" t="inlineStr">
        <is>
          <t>SIM</t>
        </is>
      </c>
    </row>
    <row r="422">
      <c r="E422" s="9" t="n"/>
      <c r="F422" s="10" t="n"/>
      <c r="H422" t="inlineStr">
        <is>
          <t>SIM</t>
        </is>
      </c>
      <c r="I422" t="inlineStr">
        <is>
          <t>SIM</t>
        </is>
      </c>
    </row>
    <row r="423">
      <c r="E423" s="9" t="n"/>
      <c r="F423" s="10" t="n"/>
      <c r="H423" t="inlineStr">
        <is>
          <t>SIM</t>
        </is>
      </c>
      <c r="I423" t="inlineStr">
        <is>
          <t>SIM</t>
        </is>
      </c>
    </row>
    <row r="424">
      <c r="E424" s="9" t="n"/>
      <c r="F424" s="10" t="n"/>
      <c r="H424" t="inlineStr">
        <is>
          <t>SIM</t>
        </is>
      </c>
      <c r="I424" t="inlineStr">
        <is>
          <t>SIM</t>
        </is>
      </c>
    </row>
    <row r="425">
      <c r="E425" s="9" t="n"/>
      <c r="F425" s="10" t="n"/>
      <c r="H425" t="inlineStr">
        <is>
          <t>SIM</t>
        </is>
      </c>
      <c r="I425" t="inlineStr">
        <is>
          <t>SIM</t>
        </is>
      </c>
    </row>
    <row r="426">
      <c r="E426" s="9" t="n"/>
      <c r="F426" s="10" t="n"/>
      <c r="H426" t="inlineStr">
        <is>
          <t>SIM</t>
        </is>
      </c>
      <c r="I426" t="inlineStr">
        <is>
          <t>SIM</t>
        </is>
      </c>
    </row>
    <row r="427">
      <c r="E427" s="9" t="n"/>
      <c r="F427" s="10" t="n"/>
      <c r="H427" t="inlineStr">
        <is>
          <t>SIM</t>
        </is>
      </c>
      <c r="I427" t="inlineStr">
        <is>
          <t>SIM</t>
        </is>
      </c>
    </row>
    <row r="428">
      <c r="E428" s="9" t="n"/>
      <c r="F428" s="10" t="n"/>
      <c r="H428" t="inlineStr">
        <is>
          <t>SIM</t>
        </is>
      </c>
      <c r="I428" t="inlineStr">
        <is>
          <t>SIM</t>
        </is>
      </c>
    </row>
    <row r="429">
      <c r="E429" s="9" t="n"/>
      <c r="F429" s="10" t="n"/>
      <c r="H429" t="inlineStr">
        <is>
          <t>SIM</t>
        </is>
      </c>
      <c r="I429" t="inlineStr">
        <is>
          <t>SIM</t>
        </is>
      </c>
    </row>
    <row r="430">
      <c r="E430" s="9" t="n"/>
      <c r="F430" s="10" t="n"/>
      <c r="H430" t="inlineStr">
        <is>
          <t>SIM</t>
        </is>
      </c>
      <c r="I430" t="inlineStr">
        <is>
          <t>SIM</t>
        </is>
      </c>
    </row>
    <row r="431">
      <c r="E431" s="9" t="n"/>
      <c r="F431" s="10" t="n"/>
      <c r="H431" t="inlineStr">
        <is>
          <t>SIM</t>
        </is>
      </c>
      <c r="I431" t="inlineStr">
        <is>
          <t>SIM</t>
        </is>
      </c>
    </row>
    <row r="432">
      <c r="E432" s="9" t="n"/>
      <c r="F432" s="10" t="n"/>
      <c r="H432" t="inlineStr">
        <is>
          <t>SIM</t>
        </is>
      </c>
      <c r="I432" t="inlineStr">
        <is>
          <t>SIM</t>
        </is>
      </c>
    </row>
    <row r="433">
      <c r="E433" s="9" t="n"/>
      <c r="F433" s="10" t="n"/>
      <c r="H433" t="inlineStr">
        <is>
          <t>SIM</t>
        </is>
      </c>
      <c r="I433" t="inlineStr">
        <is>
          <t>SIM</t>
        </is>
      </c>
    </row>
    <row r="434">
      <c r="E434" s="9" t="n"/>
      <c r="F434" s="10" t="n"/>
      <c r="H434" t="inlineStr">
        <is>
          <t>SIM</t>
        </is>
      </c>
      <c r="I434" t="inlineStr">
        <is>
          <t>SIM</t>
        </is>
      </c>
    </row>
    <row r="435">
      <c r="E435" s="9" t="n"/>
      <c r="F435" s="10" t="n"/>
      <c r="H435" t="inlineStr">
        <is>
          <t>SIM</t>
        </is>
      </c>
      <c r="I435" t="inlineStr">
        <is>
          <t>SIM</t>
        </is>
      </c>
    </row>
    <row r="436">
      <c r="E436" s="9" t="n"/>
      <c r="F436" s="10" t="n"/>
      <c r="H436" t="inlineStr">
        <is>
          <t>SIM</t>
        </is>
      </c>
      <c r="I436" t="inlineStr">
        <is>
          <t>SIM</t>
        </is>
      </c>
    </row>
    <row r="437">
      <c r="E437" s="9" t="n"/>
      <c r="F437" s="10" t="n"/>
      <c r="H437" t="inlineStr">
        <is>
          <t>SIM</t>
        </is>
      </c>
      <c r="I437" t="inlineStr">
        <is>
          <t>SIM</t>
        </is>
      </c>
    </row>
    <row r="438">
      <c r="E438" s="9" t="n"/>
      <c r="F438" s="10" t="n"/>
      <c r="H438" t="inlineStr">
        <is>
          <t>SIM</t>
        </is>
      </c>
      <c r="I438" t="inlineStr">
        <is>
          <t>SIM</t>
        </is>
      </c>
    </row>
    <row r="439">
      <c r="E439" s="9" t="n"/>
      <c r="F439" s="10" t="n"/>
      <c r="H439" t="inlineStr">
        <is>
          <t>SIM</t>
        </is>
      </c>
      <c r="I439" t="inlineStr">
        <is>
          <t>SIM</t>
        </is>
      </c>
    </row>
    <row r="440">
      <c r="E440" s="9" t="n"/>
      <c r="F440" s="10" t="n"/>
      <c r="H440" t="inlineStr">
        <is>
          <t>SIM</t>
        </is>
      </c>
      <c r="I440" t="inlineStr">
        <is>
          <t>SIM</t>
        </is>
      </c>
    </row>
    <row r="441">
      <c r="E441" s="9" t="n"/>
      <c r="F441" s="10" t="n"/>
      <c r="H441" t="inlineStr">
        <is>
          <t>SIM</t>
        </is>
      </c>
      <c r="I441" t="inlineStr">
        <is>
          <t>SIM</t>
        </is>
      </c>
    </row>
    <row r="442">
      <c r="E442" s="9" t="n"/>
      <c r="F442" s="10" t="n"/>
      <c r="H442" t="inlineStr">
        <is>
          <t>SIM</t>
        </is>
      </c>
      <c r="I442" t="inlineStr">
        <is>
          <t>SIM</t>
        </is>
      </c>
    </row>
    <row r="443">
      <c r="E443" s="9" t="n"/>
      <c r="F443" s="10" t="n"/>
      <c r="H443" t="inlineStr">
        <is>
          <t>SIM</t>
        </is>
      </c>
      <c r="I443" t="inlineStr">
        <is>
          <t>SIM</t>
        </is>
      </c>
    </row>
    <row r="444">
      <c r="E444" s="9" t="n"/>
      <c r="F444" s="10" t="n"/>
      <c r="H444" t="inlineStr">
        <is>
          <t>SIM</t>
        </is>
      </c>
      <c r="I444" t="inlineStr">
        <is>
          <t>SIM</t>
        </is>
      </c>
    </row>
    <row r="445">
      <c r="E445" s="9" t="n"/>
      <c r="F445" s="10" t="n"/>
      <c r="H445" t="inlineStr">
        <is>
          <t>SIM</t>
        </is>
      </c>
      <c r="I445" t="inlineStr">
        <is>
          <t>SIM</t>
        </is>
      </c>
    </row>
    <row r="446">
      <c r="E446" s="9" t="n"/>
      <c r="F446" s="10" t="n"/>
      <c r="H446" t="inlineStr">
        <is>
          <t>SIM</t>
        </is>
      </c>
      <c r="I446" t="inlineStr">
        <is>
          <t>SIM</t>
        </is>
      </c>
    </row>
    <row r="447">
      <c r="E447" s="9" t="n"/>
      <c r="F447" s="10" t="n"/>
      <c r="H447" t="inlineStr">
        <is>
          <t>SIM</t>
        </is>
      </c>
      <c r="I447" t="inlineStr">
        <is>
          <t>SIM</t>
        </is>
      </c>
    </row>
    <row r="448">
      <c r="E448" s="9" t="n"/>
      <c r="F448" s="10" t="n"/>
      <c r="H448" t="inlineStr">
        <is>
          <t>SIM</t>
        </is>
      </c>
      <c r="I448" t="inlineStr">
        <is>
          <t>SIM</t>
        </is>
      </c>
    </row>
    <row r="449">
      <c r="E449" s="9" t="n"/>
      <c r="F449" s="10" t="n"/>
      <c r="H449" t="inlineStr">
        <is>
          <t>SIM</t>
        </is>
      </c>
      <c r="I449" t="inlineStr">
        <is>
          <t>SIM</t>
        </is>
      </c>
    </row>
    <row r="450">
      <c r="E450" s="9" t="n"/>
      <c r="F450" s="10" t="n"/>
      <c r="H450" t="inlineStr">
        <is>
          <t>SIM</t>
        </is>
      </c>
      <c r="I450" t="inlineStr">
        <is>
          <t>SIM</t>
        </is>
      </c>
    </row>
    <row r="451">
      <c r="E451" s="9" t="n"/>
      <c r="F451" s="10" t="n"/>
      <c r="H451" t="inlineStr">
        <is>
          <t>SIM</t>
        </is>
      </c>
      <c r="I451" t="inlineStr">
        <is>
          <t>SIM</t>
        </is>
      </c>
    </row>
    <row r="452">
      <c r="E452" s="9" t="n"/>
      <c r="F452" s="10" t="n"/>
      <c r="H452" t="inlineStr">
        <is>
          <t>SIM</t>
        </is>
      </c>
      <c r="I452" t="inlineStr">
        <is>
          <t>SIM</t>
        </is>
      </c>
    </row>
    <row r="453">
      <c r="E453" s="9" t="n"/>
      <c r="F453" s="10" t="n"/>
      <c r="H453" t="inlineStr">
        <is>
          <t>SIM</t>
        </is>
      </c>
      <c r="I453" t="inlineStr">
        <is>
          <t>SIM</t>
        </is>
      </c>
    </row>
    <row r="454">
      <c r="E454" s="9" t="n"/>
      <c r="F454" s="10" t="n"/>
      <c r="H454" t="inlineStr">
        <is>
          <t>SIM</t>
        </is>
      </c>
      <c r="I454" t="inlineStr">
        <is>
          <t>SIM</t>
        </is>
      </c>
    </row>
    <row r="455">
      <c r="E455" s="9" t="n"/>
      <c r="F455" s="10" t="n"/>
      <c r="H455" t="inlineStr">
        <is>
          <t>SIM</t>
        </is>
      </c>
      <c r="I455" t="inlineStr">
        <is>
          <t>SIM</t>
        </is>
      </c>
    </row>
    <row r="456">
      <c r="E456" s="9" t="n"/>
      <c r="F456" s="10" t="n"/>
      <c r="H456" t="inlineStr">
        <is>
          <t>SIM</t>
        </is>
      </c>
      <c r="I456" t="inlineStr">
        <is>
          <t>SIM</t>
        </is>
      </c>
    </row>
    <row r="457">
      <c r="E457" s="9" t="n"/>
      <c r="F457" s="10" t="n"/>
      <c r="H457" t="inlineStr">
        <is>
          <t>SIM</t>
        </is>
      </c>
      <c r="I457" t="inlineStr">
        <is>
          <t>SIM</t>
        </is>
      </c>
    </row>
    <row r="458">
      <c r="E458" s="9" t="n"/>
      <c r="F458" s="10" t="n"/>
      <c r="H458" t="inlineStr">
        <is>
          <t>SIM</t>
        </is>
      </c>
      <c r="I458" t="inlineStr">
        <is>
          <t>SIM</t>
        </is>
      </c>
    </row>
    <row r="459">
      <c r="E459" s="9" t="n"/>
      <c r="F459" s="10" t="n"/>
      <c r="H459" t="inlineStr">
        <is>
          <t>SIM</t>
        </is>
      </c>
      <c r="I459" t="inlineStr">
        <is>
          <t>SIM</t>
        </is>
      </c>
    </row>
    <row r="460">
      <c r="E460" s="9" t="n"/>
      <c r="F460" s="10" t="n"/>
      <c r="H460" t="inlineStr">
        <is>
          <t>SIM</t>
        </is>
      </c>
      <c r="I460" t="inlineStr">
        <is>
          <t>SIM</t>
        </is>
      </c>
    </row>
    <row r="461">
      <c r="E461" s="9" t="n"/>
      <c r="F461" s="10" t="n"/>
      <c r="H461" t="inlineStr">
        <is>
          <t>SIM</t>
        </is>
      </c>
      <c r="I461" t="inlineStr">
        <is>
          <t>SIM</t>
        </is>
      </c>
    </row>
    <row r="462">
      <c r="E462" s="9" t="n"/>
      <c r="F462" s="10" t="n"/>
      <c r="H462" t="inlineStr">
        <is>
          <t>SIM</t>
        </is>
      </c>
      <c r="I462" t="inlineStr">
        <is>
          <t>SIM</t>
        </is>
      </c>
    </row>
    <row r="463">
      <c r="E463" s="9" t="n"/>
      <c r="F463" s="10" t="n"/>
      <c r="H463" t="inlineStr">
        <is>
          <t>SIM</t>
        </is>
      </c>
      <c r="I463" t="inlineStr">
        <is>
          <t>SIM</t>
        </is>
      </c>
    </row>
    <row r="464">
      <c r="E464" s="9" t="n"/>
      <c r="F464" s="10" t="n"/>
      <c r="H464" t="inlineStr">
        <is>
          <t>SIM</t>
        </is>
      </c>
      <c r="I464" t="inlineStr">
        <is>
          <t>SIM</t>
        </is>
      </c>
    </row>
    <row r="465">
      <c r="E465" s="9" t="n"/>
      <c r="F465" s="10" t="n"/>
      <c r="H465" t="inlineStr">
        <is>
          <t>SIM</t>
        </is>
      </c>
      <c r="I465" t="inlineStr">
        <is>
          <t>SIM</t>
        </is>
      </c>
    </row>
    <row r="466">
      <c r="E466" s="9" t="n"/>
      <c r="F466" s="10" t="n"/>
      <c r="H466" t="inlineStr">
        <is>
          <t>SIM</t>
        </is>
      </c>
      <c r="I466" t="inlineStr">
        <is>
          <t>SIM</t>
        </is>
      </c>
    </row>
    <row r="467">
      <c r="E467" s="9" t="n"/>
      <c r="F467" s="10" t="n"/>
      <c r="H467" t="inlineStr">
        <is>
          <t>SIM</t>
        </is>
      </c>
      <c r="I467" t="inlineStr">
        <is>
          <t>SIM</t>
        </is>
      </c>
    </row>
    <row r="468">
      <c r="E468" s="9" t="n"/>
      <c r="F468" s="10" t="n"/>
      <c r="H468" t="inlineStr">
        <is>
          <t>SIM</t>
        </is>
      </c>
      <c r="I468" t="inlineStr">
        <is>
          <t>SIM</t>
        </is>
      </c>
    </row>
    <row r="469">
      <c r="E469" s="9" t="n"/>
      <c r="F469" s="10" t="n"/>
      <c r="H469" t="inlineStr">
        <is>
          <t>SIM</t>
        </is>
      </c>
      <c r="I469" t="inlineStr">
        <is>
          <t>SIM</t>
        </is>
      </c>
    </row>
    <row r="470">
      <c r="E470" s="9" t="n"/>
      <c r="F470" s="10" t="n"/>
      <c r="H470" t="inlineStr">
        <is>
          <t>SIM</t>
        </is>
      </c>
      <c r="I470" t="inlineStr">
        <is>
          <t>SIM</t>
        </is>
      </c>
    </row>
    <row r="471">
      <c r="E471" s="9" t="n"/>
      <c r="F471" s="10" t="n"/>
      <c r="H471" t="inlineStr">
        <is>
          <t>SIM</t>
        </is>
      </c>
      <c r="I471" t="inlineStr">
        <is>
          <t>SIM</t>
        </is>
      </c>
    </row>
    <row r="472">
      <c r="E472" s="9" t="n"/>
      <c r="F472" s="10" t="n"/>
      <c r="H472" t="inlineStr">
        <is>
          <t>SIM</t>
        </is>
      </c>
      <c r="I472" t="inlineStr">
        <is>
          <t>SIM</t>
        </is>
      </c>
    </row>
    <row r="473">
      <c r="E473" s="9" t="n"/>
      <c r="F473" s="10" t="n"/>
      <c r="H473" t="inlineStr">
        <is>
          <t>SIM</t>
        </is>
      </c>
      <c r="I473" t="inlineStr">
        <is>
          <t>SIM</t>
        </is>
      </c>
    </row>
    <row r="474">
      <c r="E474" s="9" t="n"/>
      <c r="F474" s="10" t="n"/>
      <c r="H474" t="inlineStr">
        <is>
          <t>SIM</t>
        </is>
      </c>
      <c r="I474" t="inlineStr">
        <is>
          <t>SIM</t>
        </is>
      </c>
    </row>
    <row r="475">
      <c r="E475" s="9" t="n"/>
      <c r="F475" s="10" t="n"/>
      <c r="H475" t="inlineStr">
        <is>
          <t>SIM</t>
        </is>
      </c>
      <c r="I475" t="inlineStr">
        <is>
          <t>SIM</t>
        </is>
      </c>
    </row>
    <row r="476">
      <c r="E476" s="9" t="n"/>
      <c r="F476" s="10" t="n"/>
      <c r="H476" t="inlineStr">
        <is>
          <t>SIM</t>
        </is>
      </c>
      <c r="I476" t="inlineStr">
        <is>
          <t>SIM</t>
        </is>
      </c>
    </row>
    <row r="477">
      <c r="E477" s="9" t="n"/>
      <c r="F477" s="10" t="n"/>
      <c r="H477" t="inlineStr">
        <is>
          <t>SIM</t>
        </is>
      </c>
      <c r="I477" t="inlineStr">
        <is>
          <t>SIM</t>
        </is>
      </c>
    </row>
    <row r="478">
      <c r="E478" s="9" t="n"/>
      <c r="F478" s="10" t="n"/>
      <c r="H478" t="inlineStr">
        <is>
          <t>SIM</t>
        </is>
      </c>
      <c r="I478" t="inlineStr">
        <is>
          <t>SIM</t>
        </is>
      </c>
    </row>
    <row r="479">
      <c r="E479" s="9" t="n"/>
      <c r="F479" s="10" t="n"/>
      <c r="H479" t="inlineStr">
        <is>
          <t>SIM</t>
        </is>
      </c>
      <c r="I479" t="inlineStr">
        <is>
          <t>SIM</t>
        </is>
      </c>
    </row>
    <row r="480">
      <c r="E480" s="9" t="n"/>
      <c r="F480" s="10" t="n"/>
      <c r="H480" t="inlineStr">
        <is>
          <t>SIM</t>
        </is>
      </c>
      <c r="I480" t="inlineStr">
        <is>
          <t>SIM</t>
        </is>
      </c>
    </row>
    <row r="481">
      <c r="E481" s="9" t="n"/>
      <c r="F481" s="10" t="n"/>
      <c r="H481" t="inlineStr">
        <is>
          <t>SIM</t>
        </is>
      </c>
      <c r="I481" t="inlineStr">
        <is>
          <t>SIM</t>
        </is>
      </c>
    </row>
    <row r="482">
      <c r="E482" s="9" t="n"/>
      <c r="F482" s="10" t="n"/>
      <c r="H482" t="inlineStr">
        <is>
          <t>SIM</t>
        </is>
      </c>
      <c r="I482" t="inlineStr">
        <is>
          <t>SIM</t>
        </is>
      </c>
    </row>
    <row r="483">
      <c r="E483" s="9" t="n"/>
      <c r="F483" s="10" t="n"/>
      <c r="H483" t="inlineStr">
        <is>
          <t>SIM</t>
        </is>
      </c>
      <c r="I483" t="inlineStr">
        <is>
          <t>SIM</t>
        </is>
      </c>
    </row>
    <row r="484">
      <c r="E484" s="9" t="n"/>
      <c r="F484" s="10" t="n"/>
      <c r="H484" t="inlineStr">
        <is>
          <t>SIM</t>
        </is>
      </c>
      <c r="I484" t="inlineStr">
        <is>
          <t>SIM</t>
        </is>
      </c>
    </row>
    <row r="485">
      <c r="E485" s="9" t="n"/>
      <c r="F485" s="10" t="n"/>
      <c r="H485" t="inlineStr">
        <is>
          <t>SIM</t>
        </is>
      </c>
      <c r="I485" t="inlineStr">
        <is>
          <t>SIM</t>
        </is>
      </c>
    </row>
    <row r="486">
      <c r="E486" s="9" t="n"/>
      <c r="F486" s="10" t="n"/>
      <c r="H486" t="inlineStr">
        <is>
          <t>SIM</t>
        </is>
      </c>
      <c r="I486" t="inlineStr">
        <is>
          <t>SIM</t>
        </is>
      </c>
    </row>
    <row r="487">
      <c r="E487" s="9" t="n"/>
      <c r="F487" s="10" t="n"/>
      <c r="H487" t="inlineStr">
        <is>
          <t>SIM</t>
        </is>
      </c>
      <c r="I487" t="inlineStr">
        <is>
          <t>SIM</t>
        </is>
      </c>
    </row>
    <row r="488">
      <c r="E488" s="9" t="n"/>
      <c r="F488" s="10" t="n"/>
      <c r="H488" t="inlineStr">
        <is>
          <t>SIM</t>
        </is>
      </c>
      <c r="I488" t="inlineStr">
        <is>
          <t>SIM</t>
        </is>
      </c>
    </row>
    <row r="489">
      <c r="E489" s="9" t="n"/>
      <c r="F489" s="10" t="n"/>
      <c r="H489" t="inlineStr">
        <is>
          <t>SIM</t>
        </is>
      </c>
      <c r="I489" t="inlineStr">
        <is>
          <t>SIM</t>
        </is>
      </c>
    </row>
    <row r="490">
      <c r="E490" s="9" t="n"/>
      <c r="F490" s="10" t="n"/>
      <c r="H490" t="inlineStr">
        <is>
          <t>SIM</t>
        </is>
      </c>
      <c r="I490" t="inlineStr">
        <is>
          <t>SIM</t>
        </is>
      </c>
    </row>
    <row r="491">
      <c r="E491" s="9" t="n"/>
      <c r="F491" s="10" t="n"/>
      <c r="H491" t="inlineStr">
        <is>
          <t>SIM</t>
        </is>
      </c>
      <c r="I491" t="inlineStr">
        <is>
          <t>SIM</t>
        </is>
      </c>
    </row>
    <row r="492">
      <c r="E492" s="9" t="n"/>
      <c r="F492" s="10" t="n"/>
      <c r="H492" t="inlineStr">
        <is>
          <t>SIM</t>
        </is>
      </c>
      <c r="I492" t="inlineStr">
        <is>
          <t>SIM</t>
        </is>
      </c>
    </row>
    <row r="493">
      <c r="E493" s="9" t="n"/>
      <c r="F493" s="10" t="n"/>
      <c r="H493" t="inlineStr">
        <is>
          <t>SIM</t>
        </is>
      </c>
      <c r="I493" t="inlineStr">
        <is>
          <t>SIM</t>
        </is>
      </c>
    </row>
    <row r="494">
      <c r="E494" s="9" t="n"/>
      <c r="F494" s="10" t="n"/>
      <c r="H494" t="inlineStr">
        <is>
          <t>SIM</t>
        </is>
      </c>
      <c r="I494" t="inlineStr">
        <is>
          <t>SIM</t>
        </is>
      </c>
    </row>
    <row r="495">
      <c r="E495" s="9" t="n"/>
      <c r="F495" s="10" t="n"/>
      <c r="H495" t="inlineStr">
        <is>
          <t>SIM</t>
        </is>
      </c>
      <c r="I495" t="inlineStr">
        <is>
          <t>SIM</t>
        </is>
      </c>
    </row>
    <row r="496">
      <c r="E496" s="9" t="n"/>
      <c r="F496" s="10" t="n"/>
      <c r="H496" t="inlineStr">
        <is>
          <t>SIM</t>
        </is>
      </c>
      <c r="I496" t="inlineStr">
        <is>
          <t>SIM</t>
        </is>
      </c>
    </row>
    <row r="497">
      <c r="E497" s="9" t="n"/>
      <c r="F497" s="10" t="n"/>
      <c r="H497" t="inlineStr">
        <is>
          <t>SIM</t>
        </is>
      </c>
      <c r="I497" t="inlineStr">
        <is>
          <t>SIM</t>
        </is>
      </c>
    </row>
    <row r="498">
      <c r="E498" s="9" t="n"/>
      <c r="F498" s="10" t="n"/>
      <c r="H498" t="inlineStr">
        <is>
          <t>SIM</t>
        </is>
      </c>
      <c r="I498" t="inlineStr">
        <is>
          <t>SIM</t>
        </is>
      </c>
    </row>
    <row r="499">
      <c r="E499" s="9" t="n"/>
      <c r="F499" s="10" t="n"/>
      <c r="H499" t="inlineStr">
        <is>
          <t>SIM</t>
        </is>
      </c>
      <c r="I499" t="inlineStr">
        <is>
          <t>SIM</t>
        </is>
      </c>
    </row>
    <row r="500">
      <c r="E500" s="9" t="n"/>
      <c r="F500" s="10" t="n"/>
      <c r="H500" t="inlineStr">
        <is>
          <t>SIM</t>
        </is>
      </c>
      <c r="I500" t="inlineStr">
        <is>
          <t>SIM</t>
        </is>
      </c>
    </row>
  </sheetData>
  <autoFilter ref="A3:J500"/>
  <mergeCells count="2">
    <mergeCell ref="A1:J1"/>
    <mergeCell ref="A2:J2"/>
  </mergeCells>
  <dataValidations count="4">
    <dataValidation sqref="D4:D500" showDropDown="0" showInputMessage="1" showErrorMessage="1" allowBlank="1" errorTitle="Valor inválido" error="Selecione um valor da lista." promptTitle="Allik One" prompt="Escolha uma opção padronizada." type="list">
      <formula1>=LISTAS!$A$2:$A$8</formula1>
    </dataValidation>
    <dataValidation sqref="G4:G500" showDropDown="0" showInputMessage="1" showErrorMessage="1" allowBlank="1" errorTitle="Valor inválido" error="Selecione um valor da lista." promptTitle="Allik One" prompt="Escolha uma opção padronizada." type="list">
      <formula1>=LISTAS!$B$2:$B$6</formula1>
    </dataValidation>
    <dataValidation sqref="H4:H500" showDropDown="0" showInputMessage="1" showErrorMessage="1" allowBlank="1" errorTitle="Valor inválido" error="Selecione um valor da lista." promptTitle="Allik One" prompt="Escolha uma opção padronizada." type="list">
      <formula1>=LISTAS!$D$2:$D$3</formula1>
    </dataValidation>
    <dataValidation sqref="I4:I500" showDropDown="0" showInputMessage="1" showErrorMessage="1" allowBlank="1" errorTitle="Valor inválido" error="Selecione um valor da lista." promptTitle="Allik One" prompt="Escolha uma opção padronizada." type="list">
      <formula1>=LISTAS!$D$2:$D$3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35" customWidth="1" min="4" max="4"/>
    <col width="44" customWidth="1" min="5" max="5"/>
    <col width="22" customWidth="1" min="6" max="6"/>
    <col width="15" customWidth="1" min="7" max="7"/>
    <col width="20" customWidth="1" min="8" max="8"/>
    <col width="18" customWidth="1" min="9" max="9"/>
    <col width="18" customWidth="1" min="10" max="10"/>
    <col width="16" customWidth="1" min="11" max="11"/>
    <col width="22" customWidth="1" min="12" max="12"/>
    <col width="18" customWidth="1" min="13" max="13"/>
    <col width="30" customWidth="1" min="14" max="14"/>
    <col width="20" customWidth="1" min="15" max="15"/>
    <col width="18" customWidth="1" min="16" max="16"/>
    <col width="24" customWidth="1" min="17" max="17"/>
    <col width="28" customWidth="1" min="18" max="18"/>
    <col width="45" customWidth="1" min="19" max="19"/>
    <col width="24" customWidth="1" min="20" max="20"/>
  </cols>
  <sheetData>
    <row r="1" ht="30" customHeight="1">
      <c r="A1" s="1" t="inlineStr">
        <is>
          <t>CONTAGEM FÍSICA OFICIAL</t>
        </is>
      </c>
    </row>
    <row r="2" ht="32" customHeight="1">
      <c r="A2" s="2" t="inlineStr">
        <is>
          <t>Uma linha por lote e local. Preencha as células amarelas; colunas azuis/cinzas são auxiliares. Não apague o histórico anterior.</t>
        </is>
      </c>
    </row>
    <row r="3" ht="34" customHeight="1">
      <c r="A3" s="5" t="inlineStr">
        <is>
          <t>IMPORTAR?*</t>
        </is>
      </c>
      <c r="B3" s="5" t="inlineStr">
        <is>
          <t>Unidade*</t>
        </is>
      </c>
      <c r="C3" s="5" t="inlineStr">
        <is>
          <t>Local de estoque*</t>
        </is>
      </c>
      <c r="D3" s="5" t="inlineStr">
        <is>
          <t>SKU*</t>
        </is>
      </c>
      <c r="E3" s="5" t="inlineStr">
        <is>
          <t>Produto (automático)</t>
        </is>
      </c>
      <c r="F3" s="5" t="inlineStr">
        <is>
          <t>Lote*</t>
        </is>
      </c>
      <c r="G3" s="5" t="inlineStr">
        <is>
          <t>Validade*</t>
        </is>
      </c>
      <c r="H3" s="5" t="inlineStr">
        <is>
          <t>Status do lote*</t>
        </is>
      </c>
      <c r="I3" s="5" t="inlineStr">
        <is>
          <t>Quantidade anterior</t>
        </is>
      </c>
      <c r="J3" s="5" t="inlineStr">
        <is>
          <t>Quantidade física*</t>
        </is>
      </c>
      <c r="K3" s="5" t="inlineStr">
        <is>
          <t>Diferença</t>
        </is>
      </c>
      <c r="L3" s="5" t="inlineStr">
        <is>
          <t>Unidade de medida (automático)</t>
        </is>
      </c>
      <c r="M3" s="5" t="inlineStr">
        <is>
          <t>Custo unitário*</t>
        </is>
      </c>
      <c r="N3" s="5" t="inlineStr">
        <is>
          <t>Fornecedor*</t>
        </is>
      </c>
      <c r="O3" s="5" t="inlineStr">
        <is>
          <t>Documento/NF</t>
        </is>
      </c>
      <c r="P3" s="5" t="inlineStr">
        <is>
          <t>Data da contagem*</t>
        </is>
      </c>
      <c r="Q3" s="5" t="inlineStr">
        <is>
          <t>Contado por*</t>
        </is>
      </c>
      <c r="R3" s="5" t="inlineStr">
        <is>
          <t>Segunda conferência por</t>
        </is>
      </c>
      <c r="S3" s="5" t="inlineStr">
        <is>
          <t>Motivo/observações</t>
        </is>
      </c>
      <c r="T3" s="5" t="inlineStr">
        <is>
          <t>VALÍDAÇÃO</t>
        </is>
      </c>
    </row>
    <row r="4">
      <c r="A4" s="11" t="inlineStr">
        <is>
          <t>NÃO</t>
        </is>
      </c>
      <c r="B4" s="11" t="inlineStr">
        <is>
          <t>Juazeiro do Norte</t>
        </is>
      </c>
      <c r="C4" s="11" t="inlineStr">
        <is>
          <t>Estoque Central</t>
        </is>
      </c>
      <c r="D4" s="11" t="inlineStr">
        <is>
          <t>JDO-001-IM-ADEK</t>
        </is>
      </c>
      <c r="E4" s="12">
        <f>IFERROR(VLOOKUP(D4,PRODUTOS!$A:$J,2,FALSE),"")</f>
        <v/>
      </c>
      <c r="F4" s="11" t="n"/>
      <c r="G4" s="13" t="n">
        <v>46326</v>
      </c>
      <c r="H4" s="11" t="inlineStr">
        <is>
          <t>DISPONÍVEL</t>
        </is>
      </c>
      <c r="I4" s="14" t="n">
        <v>20</v>
      </c>
      <c r="J4" s="15" t="n"/>
      <c r="K4" s="14">
        <f>IF(J4="","",J4-I4)</f>
        <v/>
      </c>
      <c r="L4" s="12">
        <f>IFERROR(VLOOKUP(D4,PRODUTOS!$A:$J,4,FALSE),"")</f>
        <v/>
      </c>
      <c r="M4" s="16" t="n"/>
      <c r="N4" s="11" t="inlineStr">
        <is>
          <t>Stin Pharma</t>
        </is>
      </c>
      <c r="O4" s="11" t="n"/>
      <c r="P4" s="13" t="n"/>
      <c r="Q4" s="11" t="n"/>
      <c r="R4" s="11" t="n"/>
      <c r="S4" s="11" t="n"/>
      <c r="T4" s="12">
        <f>IF(A4&lt;&gt;"SIM","NÃO MARCADA",IF(COUNTA(B4:H4,J4,M4:N4,P4:Q4)&lt;12,"PREENCHER OBRIGATÓRIOS",IF(OR(J4&lt;0,M4&lt;0),"VALOR INVÁLIDO","OK")))</f>
        <v/>
      </c>
    </row>
    <row r="5">
      <c r="A5" s="11" t="inlineStr">
        <is>
          <t>NÃO</t>
        </is>
      </c>
      <c r="B5" s="11" t="inlineStr">
        <is>
          <t>Juazeiro do Norte</t>
        </is>
      </c>
      <c r="C5" s="11" t="inlineStr">
        <is>
          <t>Estoque Central</t>
        </is>
      </c>
      <c r="D5" s="11" t="inlineStr">
        <is>
          <t>JDO-002-IM-ANTI-INFLAMATORIO-E-ANTIOXID</t>
        </is>
      </c>
      <c r="E5" s="12">
        <f>IFERROR(VLOOKUP(D5,PRODUTOS!$A:$J,2,FALSE),"")</f>
        <v/>
      </c>
      <c r="F5" s="11" t="n"/>
      <c r="G5" s="13" t="n">
        <v>46326</v>
      </c>
      <c r="H5" s="11" t="inlineStr">
        <is>
          <t>DISPONÍVEL</t>
        </is>
      </c>
      <c r="I5" s="14" t="n">
        <v>5</v>
      </c>
      <c r="J5" s="15" t="n"/>
      <c r="K5" s="14">
        <f>IF(J5="","",J5-I5)</f>
        <v/>
      </c>
      <c r="L5" s="12">
        <f>IFERROR(VLOOKUP(D5,PRODUTOS!$A:$J,4,FALSE),"")</f>
        <v/>
      </c>
      <c r="M5" s="16" t="n"/>
      <c r="N5" s="11" t="inlineStr">
        <is>
          <t>Essentia Pharma</t>
        </is>
      </c>
      <c r="O5" s="11" t="n"/>
      <c r="P5" s="13" t="n"/>
      <c r="Q5" s="11" t="n"/>
      <c r="R5" s="11" t="n"/>
      <c r="S5" s="11" t="n"/>
      <c r="T5" s="12">
        <f>IF(A5&lt;&gt;"SIM","NÃO MARCADA",IF(COUNTA(B5:H5,J5,M5:N5,P5:Q5)&lt;12,"PREENCHER OBRIGATÓRIOS",IF(OR(J5&lt;0,M5&lt;0),"VALOR INVÁLIDO","OK")))</f>
        <v/>
      </c>
    </row>
    <row r="6">
      <c r="A6" s="11" t="inlineStr">
        <is>
          <t>NÃO</t>
        </is>
      </c>
      <c r="B6" s="11" t="inlineStr">
        <is>
          <t>Juazeiro do Norte</t>
        </is>
      </c>
      <c r="C6" s="11" t="inlineStr">
        <is>
          <t>Estoque Central</t>
        </is>
      </c>
      <c r="D6" s="11" t="inlineStr">
        <is>
          <t>JDO-003-IM-BOOSTER-ATP</t>
        </is>
      </c>
      <c r="E6" s="12">
        <f>IFERROR(VLOOKUP(D6,PRODUTOS!$A:$J,2,FALSE),"")</f>
        <v/>
      </c>
      <c r="F6" s="11" t="n"/>
      <c r="G6" s="13" t="n">
        <v>46507</v>
      </c>
      <c r="H6" s="11" t="inlineStr">
        <is>
          <t>DISPONÍVEL</t>
        </is>
      </c>
      <c r="I6" s="14" t="n">
        <v>20</v>
      </c>
      <c r="J6" s="15" t="n"/>
      <c r="K6" s="14">
        <f>IF(J6="","",J6-I6)</f>
        <v/>
      </c>
      <c r="L6" s="12">
        <f>IFERROR(VLOOKUP(D6,PRODUTOS!$A:$J,4,FALSE),"")</f>
        <v/>
      </c>
      <c r="M6" s="16" t="n"/>
      <c r="N6" s="11" t="inlineStr">
        <is>
          <t>Stin Pharma</t>
        </is>
      </c>
      <c r="O6" s="11" t="n"/>
      <c r="P6" s="13" t="n"/>
      <c r="Q6" s="11" t="n"/>
      <c r="R6" s="11" t="n"/>
      <c r="S6" s="11" t="n"/>
      <c r="T6" s="12">
        <f>IF(A6&lt;&gt;"SIM","NÃO MARCADA",IF(COUNTA(B6:H6,J6,M6:N6,P6:Q6)&lt;12,"PREENCHER OBRIGATÓRIOS",IF(OR(J6&lt;0,M6&lt;0),"VALOR INVÁLIDO","OK")))</f>
        <v/>
      </c>
    </row>
    <row r="7">
      <c r="A7" s="11" t="inlineStr">
        <is>
          <t>NÃO</t>
        </is>
      </c>
      <c r="B7" s="11" t="inlineStr">
        <is>
          <t>Juazeiro do Norte</t>
        </is>
      </c>
      <c r="C7" s="11" t="inlineStr">
        <is>
          <t>Estoque Central</t>
        </is>
      </c>
      <c r="D7" s="11" t="inlineStr">
        <is>
          <t>JDO-004-IM-BOOSTER-MOROSIL</t>
        </is>
      </c>
      <c r="E7" s="12">
        <f>IFERROR(VLOOKUP(D7,PRODUTOS!$A:$J,2,FALSE),"")</f>
        <v/>
      </c>
      <c r="F7" s="11" t="n"/>
      <c r="G7" s="13" t="n">
        <v>46356</v>
      </c>
      <c r="H7" s="11" t="inlineStr">
        <is>
          <t>DISPONÍVEL</t>
        </is>
      </c>
      <c r="I7" s="14" t="n">
        <v>14</v>
      </c>
      <c r="J7" s="15" t="n"/>
      <c r="K7" s="14">
        <f>IF(J7="","",J7-I7)</f>
        <v/>
      </c>
      <c r="L7" s="12">
        <f>IFERROR(VLOOKUP(D7,PRODUTOS!$A:$J,4,FALSE),"")</f>
        <v/>
      </c>
      <c r="M7" s="16" t="n"/>
      <c r="N7" s="11" t="inlineStr">
        <is>
          <t>Central Pharma</t>
        </is>
      </c>
      <c r="O7" s="11" t="n"/>
      <c r="P7" s="13" t="n"/>
      <c r="Q7" s="11" t="n"/>
      <c r="R7" s="11" t="n"/>
      <c r="S7" s="11" t="n"/>
      <c r="T7" s="12">
        <f>IF(A7&lt;&gt;"SIM","NÃO MARCADA",IF(COUNTA(B7:H7,J7,M7:N7,P7:Q7)&lt;12,"PREENCHER OBRIGATÓRIOS",IF(OR(J7&lt;0,M7&lt;0),"VALOR INVÁLIDO","OK")))</f>
        <v/>
      </c>
    </row>
    <row r="8">
      <c r="A8" s="11" t="inlineStr">
        <is>
          <t>NÃO</t>
        </is>
      </c>
      <c r="B8" s="11" t="inlineStr">
        <is>
          <t>Juazeiro do Norte</t>
        </is>
      </c>
      <c r="C8" s="11" t="inlineStr">
        <is>
          <t>Estoque Central</t>
        </is>
      </c>
      <c r="D8" s="11" t="inlineStr">
        <is>
          <t>JDO-005-IM-COENZIMA-Q10</t>
        </is>
      </c>
      <c r="E8" s="12">
        <f>IFERROR(VLOOKUP(D8,PRODUTOS!$A:$J,2,FALSE),"")</f>
        <v/>
      </c>
      <c r="F8" s="11" t="n"/>
      <c r="G8" s="13" t="n">
        <v>46568</v>
      </c>
      <c r="H8" s="11" t="inlineStr">
        <is>
          <t>DISPONÍVEL</t>
        </is>
      </c>
      <c r="I8" s="14" t="n">
        <v>18</v>
      </c>
      <c r="J8" s="15" t="n"/>
      <c r="K8" s="14">
        <f>IF(J8="","",J8-I8)</f>
        <v/>
      </c>
      <c r="L8" s="12">
        <f>IFERROR(VLOOKUP(D8,PRODUTOS!$A:$J,4,FALSE),"")</f>
        <v/>
      </c>
      <c r="M8" s="16" t="n"/>
      <c r="N8" s="11" t="inlineStr">
        <is>
          <t>Stin Pharma/Central</t>
        </is>
      </c>
      <c r="O8" s="11" t="n"/>
      <c r="P8" s="13" t="n"/>
      <c r="Q8" s="11" t="n"/>
      <c r="R8" s="11" t="n"/>
      <c r="S8" s="11" t="n"/>
      <c r="T8" s="12">
        <f>IF(A8&lt;&gt;"SIM","NÃO MARCADA",IF(COUNTA(B8:H8,J8,M8:N8,P8:Q8)&lt;12,"PREENCHER OBRIGATÓRIOS",IF(OR(J8&lt;0,M8&lt;0),"VALOR INVÁLIDO","OK")))</f>
        <v/>
      </c>
    </row>
    <row r="9">
      <c r="A9" s="11" t="inlineStr">
        <is>
          <t>NÃO</t>
        </is>
      </c>
      <c r="B9" s="11" t="inlineStr">
        <is>
          <t>Juazeiro do Norte</t>
        </is>
      </c>
      <c r="C9" s="11" t="inlineStr">
        <is>
          <t>Estoque Central</t>
        </is>
      </c>
      <c r="D9" s="11" t="inlineStr">
        <is>
          <t>JDO-006-IM-CURCUMINA</t>
        </is>
      </c>
      <c r="E9" s="12">
        <f>IFERROR(VLOOKUP(D9,PRODUTOS!$A:$J,2,FALSE),"")</f>
        <v/>
      </c>
      <c r="F9" s="11" t="n"/>
      <c r="G9" s="13" t="n">
        <v>46538</v>
      </c>
      <c r="H9" s="11" t="inlineStr">
        <is>
          <t>DISPONÍVEL</t>
        </is>
      </c>
      <c r="I9" s="14" t="n">
        <v>5</v>
      </c>
      <c r="J9" s="15" t="n"/>
      <c r="K9" s="14">
        <f>IF(J9="","",J9-I9)</f>
        <v/>
      </c>
      <c r="L9" s="12">
        <f>IFERROR(VLOOKUP(D9,PRODUTOS!$A:$J,4,FALSE),"")</f>
        <v/>
      </c>
      <c r="M9" s="16" t="n"/>
      <c r="N9" s="11" t="inlineStr">
        <is>
          <t>Stin Pharma</t>
        </is>
      </c>
      <c r="O9" s="11" t="n"/>
      <c r="P9" s="13" t="n"/>
      <c r="Q9" s="11" t="n"/>
      <c r="R9" s="11" t="n"/>
      <c r="S9" s="11" t="n"/>
      <c r="T9" s="12">
        <f>IF(A9&lt;&gt;"SIM","NÃO MARCADA",IF(COUNTA(B9:H9,J9,M9:N9,P9:Q9)&lt;12,"PREENCHER OBRIGATÓRIOS",IF(OR(J9&lt;0,M9&lt;0),"VALOR INVÁLIDO","OK")))</f>
        <v/>
      </c>
    </row>
    <row r="10">
      <c r="A10" s="11" t="inlineStr">
        <is>
          <t>NÃO</t>
        </is>
      </c>
      <c r="B10" s="11" t="inlineStr">
        <is>
          <t>Juazeiro do Norte</t>
        </is>
      </c>
      <c r="C10" s="11" t="inlineStr">
        <is>
          <t>Estoque Central</t>
        </is>
      </c>
      <c r="D10" s="11" t="inlineStr">
        <is>
          <t>JDO-007-IM-INSULIN-SUPPORT</t>
        </is>
      </c>
      <c r="E10" s="12">
        <f>IFERROR(VLOOKUP(D10,PRODUTOS!$A:$J,2,FALSE),"")</f>
        <v/>
      </c>
      <c r="F10" s="11" t="n"/>
      <c r="G10" s="13" t="n">
        <v>46446</v>
      </c>
      <c r="H10" s="11" t="inlineStr">
        <is>
          <t>DISPONÍVEL</t>
        </is>
      </c>
      <c r="I10" s="14" t="n">
        <v>25</v>
      </c>
      <c r="J10" s="15" t="n"/>
      <c r="K10" s="14">
        <f>IF(J10="","",J10-I10)</f>
        <v/>
      </c>
      <c r="L10" s="12">
        <f>IFERROR(VLOOKUP(D10,PRODUTOS!$A:$J,4,FALSE),"")</f>
        <v/>
      </c>
      <c r="M10" s="16" t="n"/>
      <c r="N10" s="11" t="inlineStr">
        <is>
          <t>Stin Pharma</t>
        </is>
      </c>
      <c r="O10" s="11" t="n"/>
      <c r="P10" s="13" t="n"/>
      <c r="Q10" s="11" t="n"/>
      <c r="R10" s="11" t="n"/>
      <c r="S10" s="11" t="n"/>
      <c r="T10" s="12">
        <f>IF(A10&lt;&gt;"SIM","NÃO MARCADA",IF(COUNTA(B10:H10,J10,M10:N10,P10:Q10)&lt;12,"PREENCHER OBRIGATÓRIOS",IF(OR(J10&lt;0,M10&lt;0),"VALOR INVÁLIDO","OK")))</f>
        <v/>
      </c>
    </row>
    <row r="11">
      <c r="A11" s="11" t="inlineStr">
        <is>
          <t>NÃO</t>
        </is>
      </c>
      <c r="B11" s="11" t="inlineStr">
        <is>
          <t>Juazeiro do Norte</t>
        </is>
      </c>
      <c r="C11" s="11" t="inlineStr">
        <is>
          <t>Estoque Central</t>
        </is>
      </c>
      <c r="D11" s="11" t="inlineStr">
        <is>
          <t>JDO-008-IM-L-GLUTATION</t>
        </is>
      </c>
      <c r="E11" s="12">
        <f>IFERROR(VLOOKUP(D11,PRODUTOS!$A:$J,2,FALSE),"")</f>
        <v/>
      </c>
      <c r="F11" s="11" t="n"/>
      <c r="G11" s="13" t="n"/>
      <c r="H11" s="11" t="inlineStr">
        <is>
          <t>DISPONÍVEL</t>
        </is>
      </c>
      <c r="I11" s="14" t="n">
        <v>0</v>
      </c>
      <c r="J11" s="15" t="n"/>
      <c r="K11" s="14">
        <f>IF(J11="","",J11-I11)</f>
        <v/>
      </c>
      <c r="L11" s="12">
        <f>IFERROR(VLOOKUP(D11,PRODUTOS!$A:$J,4,FALSE),"")</f>
        <v/>
      </c>
      <c r="M11" s="16" t="n"/>
      <c r="N11" s="11" t="inlineStr">
        <is>
          <t>Stin Pharma</t>
        </is>
      </c>
      <c r="O11" s="11" t="n"/>
      <c r="P11" s="13" t="n"/>
      <c r="Q11" s="11" t="n"/>
      <c r="R11" s="11" t="n"/>
      <c r="S11" s="11" t="n"/>
      <c r="T11" s="12">
        <f>IF(A11&lt;&gt;"SIM","NÃO MARCADA",IF(COUNTA(B11:H11,J11,M11:N11,P11:Q11)&lt;12,"PREENCHER OBRIGATÓRIOS",IF(OR(J11&lt;0,M11&lt;0),"VALOR INVÁLIDO","OK")))</f>
        <v/>
      </c>
    </row>
    <row r="12">
      <c r="A12" s="11" t="inlineStr">
        <is>
          <t>NÃO</t>
        </is>
      </c>
      <c r="B12" s="11" t="inlineStr">
        <is>
          <t>Juazeiro do Norte</t>
        </is>
      </c>
      <c r="C12" s="11" t="inlineStr">
        <is>
          <t>Estoque Central</t>
        </is>
      </c>
      <c r="D12" s="11" t="inlineStr">
        <is>
          <t>JDO-009-IM-NADH</t>
        </is>
      </c>
      <c r="E12" s="12">
        <f>IFERROR(VLOOKUP(D12,PRODUTOS!$A:$J,2,FALSE),"")</f>
        <v/>
      </c>
      <c r="F12" s="11" t="n"/>
      <c r="G12" s="13" t="n">
        <v>46538</v>
      </c>
      <c r="H12" s="11" t="inlineStr">
        <is>
          <t>DISPONÍVEL</t>
        </is>
      </c>
      <c r="I12" s="14" t="n">
        <v>12</v>
      </c>
      <c r="J12" s="15" t="n"/>
      <c r="K12" s="14">
        <f>IF(J12="","",J12-I12)</f>
        <v/>
      </c>
      <c r="L12" s="12">
        <f>IFERROR(VLOOKUP(D12,PRODUTOS!$A:$J,4,FALSE),"")</f>
        <v/>
      </c>
      <c r="M12" s="16" t="n"/>
      <c r="N12" s="11" t="inlineStr">
        <is>
          <t>Stin Pharma</t>
        </is>
      </c>
      <c r="O12" s="11" t="n"/>
      <c r="P12" s="13" t="n"/>
      <c r="Q12" s="11" t="n"/>
      <c r="R12" s="11" t="n"/>
      <c r="S12" s="11" t="n"/>
      <c r="T12" s="12">
        <f>IF(A12&lt;&gt;"SIM","NÃO MARCADA",IF(COUNTA(B12:H12,J12,M12:N12,P12:Q12)&lt;12,"PREENCHER OBRIGATÓRIOS",IF(OR(J12&lt;0,M12&lt;0),"VALOR INVÁLIDO","OK")))</f>
        <v/>
      </c>
    </row>
    <row r="13">
      <c r="A13" s="11" t="inlineStr">
        <is>
          <t>NÃO</t>
        </is>
      </c>
      <c r="B13" s="11" t="inlineStr">
        <is>
          <t>Juazeiro do Norte</t>
        </is>
      </c>
      <c r="C13" s="11" t="inlineStr">
        <is>
          <t>Estoque Central</t>
        </is>
      </c>
      <c r="D13" s="11" t="inlineStr">
        <is>
          <t>JDO-010-IM-NANDROLONA-DECANOATO</t>
        </is>
      </c>
      <c r="E13" s="12">
        <f>IFERROR(VLOOKUP(D13,PRODUTOS!$A:$J,2,FALSE),"")</f>
        <v/>
      </c>
      <c r="F13" s="11" t="n"/>
      <c r="G13" s="13" t="n">
        <v>46843</v>
      </c>
      <c r="H13" s="11" t="inlineStr">
        <is>
          <t>DISPONÍVEL</t>
        </is>
      </c>
      <c r="I13" s="14" t="n">
        <v>3</v>
      </c>
      <c r="J13" s="15" t="n"/>
      <c r="K13" s="14">
        <f>IF(J13="","",J13-I13)</f>
        <v/>
      </c>
      <c r="L13" s="12">
        <f>IFERROR(VLOOKUP(D13,PRODUTOS!$A:$J,4,FALSE),"")</f>
        <v/>
      </c>
      <c r="M13" s="16" t="n"/>
      <c r="N13" s="11" t="inlineStr">
        <is>
          <t>Stin Pharma</t>
        </is>
      </c>
      <c r="O13" s="11" t="n"/>
      <c r="P13" s="13" t="n"/>
      <c r="Q13" s="11" t="n"/>
      <c r="R13" s="11" t="n"/>
      <c r="S13" s="11" t="n"/>
      <c r="T13" s="12">
        <f>IF(A13&lt;&gt;"SIM","NÃO MARCADA",IF(COUNTA(B13:H13,J13,M13:N13,P13:Q13)&lt;12,"PREENCHER OBRIGATÓRIOS",IF(OR(J13&lt;0,M13&lt;0),"VALOR INVÁLIDO","OK")))</f>
        <v/>
      </c>
    </row>
    <row r="14">
      <c r="A14" s="11" t="inlineStr">
        <is>
          <t>NÃO</t>
        </is>
      </c>
      <c r="B14" s="11" t="inlineStr">
        <is>
          <t>Juazeiro do Norte</t>
        </is>
      </c>
      <c r="C14" s="11" t="inlineStr">
        <is>
          <t>Estoque Central</t>
        </is>
      </c>
      <c r="D14" s="11" t="inlineStr">
        <is>
          <t>JDO-011-EVIM-POOL-COGNITIVO-NEURO-HEALTH</t>
        </is>
      </c>
      <c r="E14" s="12">
        <f>IFERROR(VLOOKUP(D14,PRODUTOS!$A:$J,2,FALSE),"")</f>
        <v/>
      </c>
      <c r="F14" s="11" t="n"/>
      <c r="G14" s="13" t="n">
        <v>46418</v>
      </c>
      <c r="H14" s="11" t="inlineStr">
        <is>
          <t>DISPONÍVEL</t>
        </is>
      </c>
      <c r="I14" s="14" t="n">
        <v>10</v>
      </c>
      <c r="J14" s="15" t="n"/>
      <c r="K14" s="14">
        <f>IF(J14="","",J14-I14)</f>
        <v/>
      </c>
      <c r="L14" s="12">
        <f>IFERROR(VLOOKUP(D14,PRODUTOS!$A:$J,4,FALSE),"")</f>
        <v/>
      </c>
      <c r="M14" s="16" t="n"/>
      <c r="N14" s="11" t="inlineStr">
        <is>
          <t>Central Pharma</t>
        </is>
      </c>
      <c r="O14" s="11" t="n"/>
      <c r="P14" s="13" t="n"/>
      <c r="Q14" s="11" t="n"/>
      <c r="R14" s="11" t="n"/>
      <c r="S14" s="11" t="n"/>
      <c r="T14" s="12">
        <f>IF(A14&lt;&gt;"SIM","NÃO MARCADA",IF(COUNTA(B14:H14,J14,M14:N14,P14:Q14)&lt;12,"PREENCHER OBRIGATÓRIOS",IF(OR(J14&lt;0,M14&lt;0),"VALOR INVÁLIDO","OK")))</f>
        <v/>
      </c>
    </row>
    <row r="15">
      <c r="A15" s="11" t="inlineStr">
        <is>
          <t>NÃO</t>
        </is>
      </c>
      <c r="B15" s="11" t="inlineStr">
        <is>
          <t>Juazeiro do Norte</t>
        </is>
      </c>
      <c r="C15" s="11" t="inlineStr">
        <is>
          <t>Estoque Central</t>
        </is>
      </c>
      <c r="D15" s="11" t="inlineStr">
        <is>
          <t>JDO-012-IM-RESVERATROL</t>
        </is>
      </c>
      <c r="E15" s="12">
        <f>IFERROR(VLOOKUP(D15,PRODUTOS!$A:$J,2,FALSE),"")</f>
        <v/>
      </c>
      <c r="F15" s="11" t="n"/>
      <c r="G15" s="13" t="n">
        <v>46538</v>
      </c>
      <c r="H15" s="11" t="inlineStr">
        <is>
          <t>DISPONÍVEL</t>
        </is>
      </c>
      <c r="I15" s="14" t="n">
        <v>24</v>
      </c>
      <c r="J15" s="15" t="n"/>
      <c r="K15" s="14">
        <f>IF(J15="","",J15-I15)</f>
        <v/>
      </c>
      <c r="L15" s="12">
        <f>IFERROR(VLOOKUP(D15,PRODUTOS!$A:$J,4,FALSE),"")</f>
        <v/>
      </c>
      <c r="M15" s="16" t="n"/>
      <c r="N15" s="11" t="inlineStr">
        <is>
          <t>Stin Pharma</t>
        </is>
      </c>
      <c r="O15" s="11" t="n"/>
      <c r="P15" s="13" t="n"/>
      <c r="Q15" s="11" t="n"/>
      <c r="R15" s="11" t="n"/>
      <c r="S15" s="11" t="n"/>
      <c r="T15" s="12">
        <f>IF(A15&lt;&gt;"SIM","NÃO MARCADA",IF(COUNTA(B15:H15,J15,M15:N15,P15:Q15)&lt;12,"PREENCHER OBRIGATÓRIOS",IF(OR(J15&lt;0,M15&lt;0),"VALOR INVÁLIDO","OK")))</f>
        <v/>
      </c>
    </row>
    <row r="16">
      <c r="A16" s="11" t="inlineStr">
        <is>
          <t>NÃO</t>
        </is>
      </c>
      <c r="B16" s="11" t="inlineStr">
        <is>
          <t>Juazeiro do Norte</t>
        </is>
      </c>
      <c r="C16" s="11" t="inlineStr">
        <is>
          <t>Estoque Central</t>
        </is>
      </c>
      <c r="D16" s="11" t="inlineStr">
        <is>
          <t>JDO-013-IM-RESVERATROL-MICELAR</t>
        </is>
      </c>
      <c r="E16" s="12">
        <f>IFERROR(VLOOKUP(D16,PRODUTOS!$A:$J,2,FALSE),"")</f>
        <v/>
      </c>
      <c r="F16" s="11" t="n"/>
      <c r="G16" s="13" t="n">
        <v>46418</v>
      </c>
      <c r="H16" s="11" t="inlineStr">
        <is>
          <t>DISPONÍVEL</t>
        </is>
      </c>
      <c r="I16" s="14" t="n">
        <v>25</v>
      </c>
      <c r="J16" s="15" t="n"/>
      <c r="K16" s="14">
        <f>IF(J16="","",J16-I16)</f>
        <v/>
      </c>
      <c r="L16" s="12">
        <f>IFERROR(VLOOKUP(D16,PRODUTOS!$A:$J,4,FALSE),"")</f>
        <v/>
      </c>
      <c r="M16" s="16" t="n"/>
      <c r="N16" s="11" t="inlineStr">
        <is>
          <t>Essentia Pharma</t>
        </is>
      </c>
      <c r="O16" s="11" t="n"/>
      <c r="P16" s="13" t="n"/>
      <c r="Q16" s="11" t="n"/>
      <c r="R16" s="11" t="n"/>
      <c r="S16" s="11" t="n"/>
      <c r="T16" s="12">
        <f>IF(A16&lt;&gt;"SIM","NÃO MARCADA",IF(COUNTA(B16:H16,J16,M16:N16,P16:Q16)&lt;12,"PREENCHER OBRIGATÓRIOS",IF(OR(J16&lt;0,M16&lt;0),"VALOR INVÁLIDO","OK")))</f>
        <v/>
      </c>
    </row>
    <row r="17">
      <c r="A17" s="11" t="inlineStr">
        <is>
          <t>NÃO</t>
        </is>
      </c>
      <c r="B17" s="11" t="inlineStr">
        <is>
          <t>Juazeiro do Norte</t>
        </is>
      </c>
      <c r="C17" s="11" t="inlineStr">
        <is>
          <t>Estoque Central</t>
        </is>
      </c>
      <c r="D17" s="11" t="inlineStr">
        <is>
          <t>JDO-014-IM-TESTOSTERONA-CIPIONATO</t>
        </is>
      </c>
      <c r="E17" s="12">
        <f>IFERROR(VLOOKUP(D17,PRODUTOS!$A:$J,2,FALSE),"")</f>
        <v/>
      </c>
      <c r="F17" s="11" t="n"/>
      <c r="G17" s="13" t="n">
        <v>46507</v>
      </c>
      <c r="H17" s="11" t="inlineStr">
        <is>
          <t>DISPONÍVEL</t>
        </is>
      </c>
      <c r="I17" s="14" t="n">
        <v>25</v>
      </c>
      <c r="J17" s="15" t="n"/>
      <c r="K17" s="14">
        <f>IF(J17="","",J17-I17)</f>
        <v/>
      </c>
      <c r="L17" s="12">
        <f>IFERROR(VLOOKUP(D17,PRODUTOS!$A:$J,4,FALSE),"")</f>
        <v/>
      </c>
      <c r="M17" s="16" t="n"/>
      <c r="N17" s="11" t="inlineStr">
        <is>
          <t>Stin Pharma</t>
        </is>
      </c>
      <c r="O17" s="11" t="n"/>
      <c r="P17" s="13" t="n"/>
      <c r="Q17" s="11" t="n"/>
      <c r="R17" s="11" t="n"/>
      <c r="S17" s="11" t="n"/>
      <c r="T17" s="12">
        <f>IF(A17&lt;&gt;"SIM","NÃO MARCADA",IF(COUNTA(B17:H17,J17,M17:N17,P17:Q17)&lt;12,"PREENCHER OBRIGATÓRIOS",IF(OR(J17&lt;0,M17&lt;0),"VALOR INVÁLIDO","OK")))</f>
        <v/>
      </c>
    </row>
    <row r="18">
      <c r="A18" s="11" t="inlineStr">
        <is>
          <t>NÃO</t>
        </is>
      </c>
      <c r="B18" s="11" t="inlineStr">
        <is>
          <t>Juazeiro do Norte</t>
        </is>
      </c>
      <c r="C18" s="11" t="inlineStr">
        <is>
          <t>Estoque Central</t>
        </is>
      </c>
      <c r="D18" s="11" t="inlineStr">
        <is>
          <t>JDO-015-IM-TESTOSTERONA-DURATESTON</t>
        </is>
      </c>
      <c r="E18" s="12">
        <f>IFERROR(VLOOKUP(D18,PRODUTOS!$A:$J,2,FALSE),"")</f>
        <v/>
      </c>
      <c r="F18" s="11" t="n"/>
      <c r="G18" s="13" t="n">
        <v>46538</v>
      </c>
      <c r="H18" s="11" t="inlineStr">
        <is>
          <t>DISPONÍVEL</t>
        </is>
      </c>
      <c r="I18" s="14" t="n">
        <v>6</v>
      </c>
      <c r="J18" s="15" t="n"/>
      <c r="K18" s="14">
        <f>IF(J18="","",J18-I18)</f>
        <v/>
      </c>
      <c r="L18" s="12">
        <f>IFERROR(VLOOKUP(D18,PRODUTOS!$A:$J,4,FALSE),"")</f>
        <v/>
      </c>
      <c r="M18" s="16" t="n"/>
      <c r="N18" s="11" t="inlineStr">
        <is>
          <t>Stin Pharma</t>
        </is>
      </c>
      <c r="O18" s="11" t="n"/>
      <c r="P18" s="13" t="n"/>
      <c r="Q18" s="11" t="n"/>
      <c r="R18" s="11" t="n"/>
      <c r="S18" s="11" t="n"/>
      <c r="T18" s="12">
        <f>IF(A18&lt;&gt;"SIM","NÃO MARCADA",IF(COUNTA(B18:H18,J18,M18:N18,P18:Q18)&lt;12,"PREENCHER OBRIGATÓRIOS",IF(OR(J18&lt;0,M18&lt;0),"VALOR INVÁLIDO","OK")))</f>
        <v/>
      </c>
    </row>
    <row r="19">
      <c r="A19" s="11" t="inlineStr">
        <is>
          <t>NÃO</t>
        </is>
      </c>
      <c r="B19" s="11" t="inlineStr">
        <is>
          <t>Juazeiro do Norte</t>
        </is>
      </c>
      <c r="C19" s="11" t="inlineStr">
        <is>
          <t>Estoque Central</t>
        </is>
      </c>
      <c r="D19" s="11" t="inlineStr">
        <is>
          <t>JDO-016-IM-TRIO-METILADOR</t>
        </is>
      </c>
      <c r="E19" s="12">
        <f>IFERROR(VLOOKUP(D19,PRODUTOS!$A:$J,2,FALSE),"")</f>
        <v/>
      </c>
      <c r="F19" s="11" t="n"/>
      <c r="G19" s="13" t="n">
        <v>46538</v>
      </c>
      <c r="H19" s="11" t="inlineStr">
        <is>
          <t>DISPONÍVEL</t>
        </is>
      </c>
      <c r="I19" s="14" t="n">
        <v>29</v>
      </c>
      <c r="J19" s="15" t="n"/>
      <c r="K19" s="14">
        <f>IF(J19="","",J19-I19)</f>
        <v/>
      </c>
      <c r="L19" s="12">
        <f>IFERROR(VLOOKUP(D19,PRODUTOS!$A:$J,4,FALSE),"")</f>
        <v/>
      </c>
      <c r="M19" s="16" t="n"/>
      <c r="N19" s="11" t="inlineStr">
        <is>
          <t>Stin Pharma/Central</t>
        </is>
      </c>
      <c r="O19" s="11" t="n"/>
      <c r="P19" s="13" t="n"/>
      <c r="Q19" s="11" t="n"/>
      <c r="R19" s="11" t="n"/>
      <c r="S19" s="11" t="n"/>
      <c r="T19" s="12">
        <f>IF(A19&lt;&gt;"SIM","NÃO MARCADA",IF(COUNTA(B19:H19,J19,M19:N19,P19:Q19)&lt;12,"PREENCHER OBRIGATÓRIOS",IF(OR(J19&lt;0,M19&lt;0),"VALOR INVÁLIDO","OK")))</f>
        <v/>
      </c>
    </row>
    <row r="20">
      <c r="A20" s="11" t="inlineStr">
        <is>
          <t>NÃO</t>
        </is>
      </c>
      <c r="B20" s="11" t="inlineStr">
        <is>
          <t>Juazeiro do Norte</t>
        </is>
      </c>
      <c r="C20" s="11" t="inlineStr">
        <is>
          <t>Estoque Central</t>
        </is>
      </c>
      <c r="D20" s="11" t="inlineStr">
        <is>
          <t>JDO-017-IM-TRIO-DETOX</t>
        </is>
      </c>
      <c r="E20" s="12">
        <f>IFERROR(VLOOKUP(D20,PRODUTOS!$A:$J,2,FALSE),"")</f>
        <v/>
      </c>
      <c r="F20" s="11" t="n"/>
      <c r="G20" s="13" t="n">
        <v>46326</v>
      </c>
      <c r="H20" s="11" t="inlineStr">
        <is>
          <t>DISPONÍVEL</t>
        </is>
      </c>
      <c r="I20" s="14" t="n">
        <v>20</v>
      </c>
      <c r="J20" s="15" t="n"/>
      <c r="K20" s="14">
        <f>IF(J20="","",J20-I20)</f>
        <v/>
      </c>
      <c r="L20" s="12">
        <f>IFERROR(VLOOKUP(D20,PRODUTOS!$A:$J,4,FALSE),"")</f>
        <v/>
      </c>
      <c r="M20" s="16" t="n"/>
      <c r="N20" s="11" t="inlineStr">
        <is>
          <t>Central Pharma</t>
        </is>
      </c>
      <c r="O20" s="11" t="n"/>
      <c r="P20" s="13" t="n"/>
      <c r="Q20" s="11" t="n"/>
      <c r="R20" s="11" t="n"/>
      <c r="S20" s="11" t="n"/>
      <c r="T20" s="12">
        <f>IF(A20&lt;&gt;"SIM","NÃO MARCADA",IF(COUNTA(B20:H20,J20,M20:N20,P20:Q20)&lt;12,"PREENCHER OBRIGATÓRIOS",IF(OR(J20&lt;0,M20&lt;0),"VALOR INVÁLIDO","OK")))</f>
        <v/>
      </c>
    </row>
    <row r="21">
      <c r="A21" s="11" t="inlineStr">
        <is>
          <t>NÃO</t>
        </is>
      </c>
      <c r="B21" s="11" t="inlineStr">
        <is>
          <t>Juazeiro do Norte</t>
        </is>
      </c>
      <c r="C21" s="11" t="inlineStr">
        <is>
          <t>Estoque Central</t>
        </is>
      </c>
      <c r="D21" s="11" t="inlineStr">
        <is>
          <t>JDO-018-IM-VITAMINA-B12</t>
        </is>
      </c>
      <c r="E21" s="12">
        <f>IFERROR(VLOOKUP(D21,PRODUTOS!$A:$J,2,FALSE),"")</f>
        <v/>
      </c>
      <c r="F21" s="11" t="n"/>
      <c r="G21" s="13" t="n">
        <v>46538</v>
      </c>
      <c r="H21" s="11" t="inlineStr">
        <is>
          <t>DISPONÍVEL</t>
        </is>
      </c>
      <c r="I21" s="14" t="n">
        <v>6</v>
      </c>
      <c r="J21" s="15" t="n"/>
      <c r="K21" s="14">
        <f>IF(J21="","",J21-I21)</f>
        <v/>
      </c>
      <c r="L21" s="12">
        <f>IFERROR(VLOOKUP(D21,PRODUTOS!$A:$J,4,FALSE),"")</f>
        <v/>
      </c>
      <c r="M21" s="16" t="n"/>
      <c r="N21" s="11" t="inlineStr">
        <is>
          <t>Stin Pharma</t>
        </is>
      </c>
      <c r="O21" s="11" t="n"/>
      <c r="P21" s="13" t="n"/>
      <c r="Q21" s="11" t="n"/>
      <c r="R21" s="11" t="n"/>
      <c r="S21" s="11" t="n"/>
      <c r="T21" s="12">
        <f>IF(A21&lt;&gt;"SIM","NÃO MARCADA",IF(COUNTA(B21:H21,J21,M21:N21,P21:Q21)&lt;12,"PREENCHER OBRIGATÓRIOS",IF(OR(J21&lt;0,M21&lt;0),"VALOR INVÁLIDO","OK")))</f>
        <v/>
      </c>
    </row>
    <row r="22">
      <c r="A22" s="11" t="inlineStr">
        <is>
          <t>NÃO</t>
        </is>
      </c>
      <c r="B22" s="11" t="inlineStr">
        <is>
          <t>Juazeiro do Norte</t>
        </is>
      </c>
      <c r="C22" s="11" t="inlineStr">
        <is>
          <t>Estoque Central</t>
        </is>
      </c>
      <c r="D22" s="11" t="inlineStr">
        <is>
          <t>JDO-019-IM-VITAMINA-D3</t>
        </is>
      </c>
      <c r="E22" s="12">
        <f>IFERROR(VLOOKUP(D22,PRODUTOS!$A:$J,2,FALSE),"")</f>
        <v/>
      </c>
      <c r="F22" s="11" t="n"/>
      <c r="G22" s="13" t="n">
        <v>46507</v>
      </c>
      <c r="H22" s="11" t="inlineStr">
        <is>
          <t>DISPONÍVEL</t>
        </is>
      </c>
      <c r="I22" s="14" t="n">
        <v>5</v>
      </c>
      <c r="J22" s="15" t="n"/>
      <c r="K22" s="14">
        <f>IF(J22="","",J22-I22)</f>
        <v/>
      </c>
      <c r="L22" s="12">
        <f>IFERROR(VLOOKUP(D22,PRODUTOS!$A:$J,4,FALSE),"")</f>
        <v/>
      </c>
      <c r="M22" s="16" t="n"/>
      <c r="N22" s="11" t="inlineStr">
        <is>
          <t>Stin Pharma</t>
        </is>
      </c>
      <c r="O22" s="11" t="n"/>
      <c r="P22" s="13" t="n"/>
      <c r="Q22" s="11" t="n"/>
      <c r="R22" s="11" t="n"/>
      <c r="S22" s="11" t="n"/>
      <c r="T22" s="12">
        <f>IF(A22&lt;&gt;"SIM","NÃO MARCADA",IF(COUNTA(B22:H22,J22,M22:N22,P22:Q22)&lt;12,"PREENCHER OBRIGATÓRIOS",IF(OR(J22&lt;0,M22&lt;0),"VALOR INVÁLIDO","OK")))</f>
        <v/>
      </c>
    </row>
    <row r="23">
      <c r="A23" s="11" t="inlineStr">
        <is>
          <t>NÃO</t>
        </is>
      </c>
      <c r="B23" s="11" t="inlineStr">
        <is>
          <t>Juazeiro do Norte</t>
        </is>
      </c>
      <c r="C23" s="11" t="inlineStr">
        <is>
          <t>Estoque Central</t>
        </is>
      </c>
      <c r="D23" s="11" t="inlineStr">
        <is>
          <t>JDO-020-EV-ALFA-LIPOICO-300</t>
        </is>
      </c>
      <c r="E23" s="12">
        <f>IFERROR(VLOOKUP(D23,PRODUTOS!$A:$J,2,FALSE),"")</f>
        <v/>
      </c>
      <c r="F23" s="11" t="n"/>
      <c r="G23" s="13" t="n">
        <v>46326</v>
      </c>
      <c r="H23" s="11" t="inlineStr">
        <is>
          <t>DISPONÍVEL</t>
        </is>
      </c>
      <c r="I23" s="14" t="n">
        <v>1</v>
      </c>
      <c r="J23" s="15" t="n"/>
      <c r="K23" s="14">
        <f>IF(J23="","",J23-I23)</f>
        <v/>
      </c>
      <c r="L23" s="12">
        <f>IFERROR(VLOOKUP(D23,PRODUTOS!$A:$J,4,FALSE),"")</f>
        <v/>
      </c>
      <c r="M23" s="16" t="n"/>
      <c r="N23" s="11" t="inlineStr">
        <is>
          <t>Stin Pharma</t>
        </is>
      </c>
      <c r="O23" s="11" t="n"/>
      <c r="P23" s="13" t="n"/>
      <c r="Q23" s="11" t="n"/>
      <c r="R23" s="11" t="n"/>
      <c r="S23" s="11" t="n"/>
      <c r="T23" s="12">
        <f>IF(A23&lt;&gt;"SIM","NÃO MARCADA",IF(COUNTA(B23:H23,J23,M23:N23,P23:Q23)&lt;12,"PREENCHER OBRIGATÓRIOS",IF(OR(J23&lt;0,M23&lt;0),"VALOR INVÁLIDO","OK")))</f>
        <v/>
      </c>
    </row>
    <row r="24">
      <c r="A24" s="11" t="inlineStr">
        <is>
          <t>NÃO</t>
        </is>
      </c>
      <c r="B24" s="11" t="inlineStr">
        <is>
          <t>Juazeiro do Norte</t>
        </is>
      </c>
      <c r="C24" s="11" t="inlineStr">
        <is>
          <t>Estoque Central</t>
        </is>
      </c>
      <c r="D24" s="11" t="inlineStr">
        <is>
          <t>JDO-021-EV-ALFA-LIPOICO-600</t>
        </is>
      </c>
      <c r="E24" s="12">
        <f>IFERROR(VLOOKUP(D24,PRODUTOS!$A:$J,2,FALSE),"")</f>
        <v/>
      </c>
      <c r="F24" s="11" t="n"/>
      <c r="G24" s="13" t="n">
        <v>46507</v>
      </c>
      <c r="H24" s="11" t="inlineStr">
        <is>
          <t>DISPONÍVEL</t>
        </is>
      </c>
      <c r="I24" s="14" t="n">
        <v>2</v>
      </c>
      <c r="J24" s="15" t="n"/>
      <c r="K24" s="14">
        <f>IF(J24="","",J24-I24)</f>
        <v/>
      </c>
      <c r="L24" s="12">
        <f>IFERROR(VLOOKUP(D24,PRODUTOS!$A:$J,4,FALSE),"")</f>
        <v/>
      </c>
      <c r="M24" s="16" t="n"/>
      <c r="N24" s="11" t="inlineStr">
        <is>
          <t>Stin Pharma</t>
        </is>
      </c>
      <c r="O24" s="11" t="n"/>
      <c r="P24" s="13" t="n"/>
      <c r="Q24" s="11" t="n"/>
      <c r="R24" s="11" t="n"/>
      <c r="S24" s="11" t="n"/>
      <c r="T24" s="12">
        <f>IF(A24&lt;&gt;"SIM","NÃO MARCADA",IF(COUNTA(B24:H24,J24,M24:N24,P24:Q24)&lt;12,"PREENCHER OBRIGATÓRIOS",IF(OR(J24&lt;0,M24&lt;0),"VALOR INVÁLIDO","OK")))</f>
        <v/>
      </c>
    </row>
    <row r="25">
      <c r="A25" s="11" t="inlineStr">
        <is>
          <t>NÃO</t>
        </is>
      </c>
      <c r="B25" s="11" t="inlineStr">
        <is>
          <t>Juazeiro do Norte</t>
        </is>
      </c>
      <c r="C25" s="11" t="inlineStr">
        <is>
          <t>Estoque Central</t>
        </is>
      </c>
      <c r="D25" s="11" t="inlineStr">
        <is>
          <t>JDO-022-EV-ANTI-INFLAMATORIO-E-ANTIOXID</t>
        </is>
      </c>
      <c r="E25" s="12">
        <f>IFERROR(VLOOKUP(D25,PRODUTOS!$A:$J,2,FALSE),"")</f>
        <v/>
      </c>
      <c r="F25" s="11" t="n"/>
      <c r="G25" s="13" t="n">
        <v>46326</v>
      </c>
      <c r="H25" s="11" t="inlineStr">
        <is>
          <t>DISPONÍVEL</t>
        </is>
      </c>
      <c r="I25" s="14" t="n">
        <v>20</v>
      </c>
      <c r="J25" s="15" t="n"/>
      <c r="K25" s="14">
        <f>IF(J25="","",J25-I25)</f>
        <v/>
      </c>
      <c r="L25" s="12">
        <f>IFERROR(VLOOKUP(D25,PRODUTOS!$A:$J,4,FALSE),"")</f>
        <v/>
      </c>
      <c r="M25" s="16" t="n"/>
      <c r="N25" s="11" t="inlineStr">
        <is>
          <t>Essentia Pharma</t>
        </is>
      </c>
      <c r="O25" s="11" t="n"/>
      <c r="P25" s="13" t="n"/>
      <c r="Q25" s="11" t="n"/>
      <c r="R25" s="11" t="n"/>
      <c r="S25" s="11" t="n"/>
      <c r="T25" s="12">
        <f>IF(A25&lt;&gt;"SIM","NÃO MARCADA",IF(COUNTA(B25:H25,J25,M25:N25,P25:Q25)&lt;12,"PREENCHER OBRIGATÓRIOS",IF(OR(J25&lt;0,M25&lt;0),"VALOR INVÁLIDO","OK")))</f>
        <v/>
      </c>
    </row>
    <row r="26">
      <c r="A26" s="11" t="inlineStr">
        <is>
          <t>NÃO</t>
        </is>
      </c>
      <c r="B26" s="11" t="inlineStr">
        <is>
          <t>Juazeiro do Norte</t>
        </is>
      </c>
      <c r="C26" s="11" t="inlineStr">
        <is>
          <t>Estoque Central</t>
        </is>
      </c>
      <c r="D26" s="11" t="inlineStr">
        <is>
          <t>JDO-023-EV-COGNICAO-E-MEMORIA-PLUS</t>
        </is>
      </c>
      <c r="E26" s="12">
        <f>IFERROR(VLOOKUP(D26,PRODUTOS!$A:$J,2,FALSE),"")</f>
        <v/>
      </c>
      <c r="F26" s="11" t="n"/>
      <c r="G26" s="13" t="n">
        <v>46326</v>
      </c>
      <c r="H26" s="11" t="inlineStr">
        <is>
          <t>DISPONÍVEL</t>
        </is>
      </c>
      <c r="I26" s="14" t="n">
        <v>1</v>
      </c>
      <c r="J26" s="15" t="n"/>
      <c r="K26" s="14">
        <f>IF(J26="","",J26-I26)</f>
        <v/>
      </c>
      <c r="L26" s="12">
        <f>IFERROR(VLOOKUP(D26,PRODUTOS!$A:$J,4,FALSE),"")</f>
        <v/>
      </c>
      <c r="M26" s="16" t="n"/>
      <c r="N26" s="11" t="inlineStr">
        <is>
          <t>Essentia Pharma</t>
        </is>
      </c>
      <c r="O26" s="11" t="n"/>
      <c r="P26" s="13" t="n"/>
      <c r="Q26" s="11" t="n"/>
      <c r="R26" s="11" t="n"/>
      <c r="S26" s="11" t="n"/>
      <c r="T26" s="12">
        <f>IF(A26&lt;&gt;"SIM","NÃO MARCADA",IF(COUNTA(B26:H26,J26,M26:N26,P26:Q26)&lt;12,"PREENCHER OBRIGATÓRIOS",IF(OR(J26&lt;0,M26&lt;0),"VALOR INVÁLIDO","OK")))</f>
        <v/>
      </c>
    </row>
    <row r="27">
      <c r="A27" s="11" t="inlineStr">
        <is>
          <t>NÃO</t>
        </is>
      </c>
      <c r="B27" s="11" t="inlineStr">
        <is>
          <t>Juazeiro do Norte</t>
        </is>
      </c>
      <c r="C27" s="11" t="inlineStr">
        <is>
          <t>Estoque Central</t>
        </is>
      </c>
      <c r="D27" s="11" t="inlineStr">
        <is>
          <t>JDO-024-EV-DISBIOSE</t>
        </is>
      </c>
      <c r="E27" s="12">
        <f>IFERROR(VLOOKUP(D27,PRODUTOS!$A:$J,2,FALSE),"")</f>
        <v/>
      </c>
      <c r="F27" s="11" t="n"/>
      <c r="G27" s="13" t="n">
        <v>46326</v>
      </c>
      <c r="H27" s="11" t="inlineStr">
        <is>
          <t>DISPONÍVEL</t>
        </is>
      </c>
      <c r="I27" s="14" t="n">
        <v>9</v>
      </c>
      <c r="J27" s="15" t="n"/>
      <c r="K27" s="14">
        <f>IF(J27="","",J27-I27)</f>
        <v/>
      </c>
      <c r="L27" s="12">
        <f>IFERROR(VLOOKUP(D27,PRODUTOS!$A:$J,4,FALSE),"")</f>
        <v/>
      </c>
      <c r="M27" s="16" t="n"/>
      <c r="N27" s="11" t="inlineStr">
        <is>
          <t>Stin Pharma</t>
        </is>
      </c>
      <c r="O27" s="11" t="n"/>
      <c r="P27" s="13" t="n"/>
      <c r="Q27" s="11" t="n"/>
      <c r="R27" s="11" t="n"/>
      <c r="S27" s="11" t="n"/>
      <c r="T27" s="12">
        <f>IF(A27&lt;&gt;"SIM","NÃO MARCADA",IF(COUNTA(B27:H27,J27,M27:N27,P27:Q27)&lt;12,"PREENCHER OBRIGATÓRIOS",IF(OR(J27&lt;0,M27&lt;0),"VALOR INVÁLIDO","OK")))</f>
        <v/>
      </c>
    </row>
    <row r="28">
      <c r="A28" s="11" t="inlineStr">
        <is>
          <t>NÃO</t>
        </is>
      </c>
      <c r="B28" s="11" t="inlineStr">
        <is>
          <t>Juazeiro do Norte</t>
        </is>
      </c>
      <c r="C28" s="11" t="inlineStr">
        <is>
          <t>Estoque Central</t>
        </is>
      </c>
      <c r="D28" s="11" t="inlineStr">
        <is>
          <t>JDO-025-EV-ESTEATOSE-HEPATICA</t>
        </is>
      </c>
      <c r="E28" s="12">
        <f>IFERROR(VLOOKUP(D28,PRODUTOS!$A:$J,2,FALSE),"")</f>
        <v/>
      </c>
      <c r="F28" s="11" t="n"/>
      <c r="G28" s="13" t="n">
        <v>46507</v>
      </c>
      <c r="H28" s="11" t="inlineStr">
        <is>
          <t>DISPONÍVEL</t>
        </is>
      </c>
      <c r="I28" s="14" t="n">
        <v>21</v>
      </c>
      <c r="J28" s="15" t="n"/>
      <c r="K28" s="14">
        <f>IF(J28="","",J28-I28)</f>
        <v/>
      </c>
      <c r="L28" s="12">
        <f>IFERROR(VLOOKUP(D28,PRODUTOS!$A:$J,4,FALSE),"")</f>
        <v/>
      </c>
      <c r="M28" s="16" t="n"/>
      <c r="N28" s="11" t="inlineStr">
        <is>
          <t>Stin Pharma</t>
        </is>
      </c>
      <c r="O28" s="11" t="n"/>
      <c r="P28" s="13" t="n"/>
      <c r="Q28" s="11" t="n"/>
      <c r="R28" s="11" t="n"/>
      <c r="S28" s="11" t="n"/>
      <c r="T28" s="12">
        <f>IF(A28&lt;&gt;"SIM","NÃO MARCADA",IF(COUNTA(B28:H28,J28,M28:N28,P28:Q28)&lt;12,"PREENCHER OBRIGATÓRIOS",IF(OR(J28&lt;0,M28&lt;0),"VALOR INVÁLIDO","OK")))</f>
        <v/>
      </c>
    </row>
    <row r="29">
      <c r="A29" s="11" t="inlineStr">
        <is>
          <t>NÃO</t>
        </is>
      </c>
      <c r="B29" s="11" t="inlineStr">
        <is>
          <t>Juazeiro do Norte</t>
        </is>
      </c>
      <c r="C29" s="11" t="inlineStr">
        <is>
          <t>Estoque Central</t>
        </is>
      </c>
      <c r="D29" s="11" t="inlineStr">
        <is>
          <t>JDO-026-EV-FADIGA-INDISPOSICAO</t>
        </is>
      </c>
      <c r="E29" s="12">
        <f>IFERROR(VLOOKUP(D29,PRODUTOS!$A:$J,2,FALSE),"")</f>
        <v/>
      </c>
      <c r="F29" s="11" t="n"/>
      <c r="G29" s="13" t="n">
        <v>46326</v>
      </c>
      <c r="H29" s="11" t="inlineStr">
        <is>
          <t>DISPONÍVEL</t>
        </is>
      </c>
      <c r="I29" s="14" t="n">
        <v>7</v>
      </c>
      <c r="J29" s="15" t="n"/>
      <c r="K29" s="14">
        <f>IF(J29="","",J29-I29)</f>
        <v/>
      </c>
      <c r="L29" s="12">
        <f>IFERROR(VLOOKUP(D29,PRODUTOS!$A:$J,4,FALSE),"")</f>
        <v/>
      </c>
      <c r="M29" s="16" t="n"/>
      <c r="N29" s="11" t="inlineStr">
        <is>
          <t>Essentia Pharma</t>
        </is>
      </c>
      <c r="O29" s="11" t="n"/>
      <c r="P29" s="13" t="n"/>
      <c r="Q29" s="11" t="n"/>
      <c r="R29" s="11" t="n"/>
      <c r="S29" s="11" t="n"/>
      <c r="T29" s="12">
        <f>IF(A29&lt;&gt;"SIM","NÃO MARCADA",IF(COUNTA(B29:H29,J29,M29:N29,P29:Q29)&lt;12,"PREENCHER OBRIGATÓRIOS",IF(OR(J29&lt;0,M29&lt;0),"VALOR INVÁLIDO","OK")))</f>
        <v/>
      </c>
    </row>
    <row r="30">
      <c r="A30" s="11" t="inlineStr">
        <is>
          <t>NÃO</t>
        </is>
      </c>
      <c r="B30" s="11" t="inlineStr">
        <is>
          <t>Juazeiro do Norte</t>
        </is>
      </c>
      <c r="C30" s="11" t="inlineStr">
        <is>
          <t>Estoque Central</t>
        </is>
      </c>
      <c r="D30" s="11" t="inlineStr">
        <is>
          <t>JDO-027-EV-FADIGA-MUSCULAR-E-HIPERTROFI</t>
        </is>
      </c>
      <c r="E30" s="12">
        <f>IFERROR(VLOOKUP(D30,PRODUTOS!$A:$J,2,FALSE),"")</f>
        <v/>
      </c>
      <c r="F30" s="11" t="n"/>
      <c r="G30" s="13" t="n">
        <v>46507</v>
      </c>
      <c r="H30" s="11" t="inlineStr">
        <is>
          <t>DISPONÍVEL</t>
        </is>
      </c>
      <c r="I30" s="14" t="n">
        <v>18</v>
      </c>
      <c r="J30" s="15" t="n"/>
      <c r="K30" s="14">
        <f>IF(J30="","",J30-I30)</f>
        <v/>
      </c>
      <c r="L30" s="12">
        <f>IFERROR(VLOOKUP(D30,PRODUTOS!$A:$J,4,FALSE),"")</f>
        <v/>
      </c>
      <c r="M30" s="16" t="n"/>
      <c r="N30" s="11" t="inlineStr">
        <is>
          <t>Stin Pharma</t>
        </is>
      </c>
      <c r="O30" s="11" t="n"/>
      <c r="P30" s="13" t="n"/>
      <c r="Q30" s="11" t="n"/>
      <c r="R30" s="11" t="n"/>
      <c r="S30" s="11" t="n"/>
      <c r="T30" s="12">
        <f>IF(A30&lt;&gt;"SIM","NÃO MARCADA",IF(COUNTA(B30:H30,J30,M30:N30,P30:Q30)&lt;12,"PREENCHER OBRIGATÓRIOS",IF(OR(J30&lt;0,M30&lt;0),"VALOR INVÁLIDO","OK")))</f>
        <v/>
      </c>
    </row>
    <row r="31">
      <c r="A31" s="11" t="inlineStr">
        <is>
          <t>NÃO</t>
        </is>
      </c>
      <c r="B31" s="11" t="inlineStr">
        <is>
          <t>Juazeiro do Norte</t>
        </is>
      </c>
      <c r="C31" s="11" t="inlineStr">
        <is>
          <t>Estoque Central</t>
        </is>
      </c>
      <c r="D31" s="11" t="inlineStr">
        <is>
          <t>JDO-028-EV-FERRO</t>
        </is>
      </c>
      <c r="E31" s="12">
        <f>IFERROR(VLOOKUP(D31,PRODUTOS!$A:$J,2,FALSE),"")</f>
        <v/>
      </c>
      <c r="F31" s="11" t="n"/>
      <c r="G31" s="13" t="n">
        <v>46873</v>
      </c>
      <c r="H31" s="11" t="inlineStr">
        <is>
          <t>DISPONÍVEL</t>
        </is>
      </c>
      <c r="I31" s="14" t="n">
        <v>6</v>
      </c>
      <c r="J31" s="15" t="n"/>
      <c r="K31" s="14">
        <f>IF(J31="","",J31-I31)</f>
        <v/>
      </c>
      <c r="L31" s="12">
        <f>IFERROR(VLOOKUP(D31,PRODUTOS!$A:$J,4,FALSE),"")</f>
        <v/>
      </c>
      <c r="M31" s="16" t="n"/>
      <c r="N31" s="11" t="inlineStr">
        <is>
          <t>Farmácia</t>
        </is>
      </c>
      <c r="O31" s="11" t="n"/>
      <c r="P31" s="13" t="n"/>
      <c r="Q31" s="11" t="n"/>
      <c r="R31" s="11" t="n"/>
      <c r="S31" s="11" t="n"/>
      <c r="T31" s="12">
        <f>IF(A31&lt;&gt;"SIM","NÃO MARCADA",IF(COUNTA(B31:H31,J31,M31:N31,P31:Q31)&lt;12,"PREENCHER OBRIGATÓRIOS",IF(OR(J31&lt;0,M31&lt;0),"VALOR INVÁLIDO","OK")))</f>
        <v/>
      </c>
    </row>
    <row r="32">
      <c r="A32" s="11" t="inlineStr">
        <is>
          <t>NÃO</t>
        </is>
      </c>
      <c r="B32" s="11" t="inlineStr">
        <is>
          <t>Juazeiro do Norte</t>
        </is>
      </c>
      <c r="C32" s="11" t="inlineStr">
        <is>
          <t>Estoque Central</t>
        </is>
      </c>
      <c r="D32" s="11" t="inlineStr">
        <is>
          <t>JDO-029-EV-IMUNIDADE</t>
        </is>
      </c>
      <c r="E32" s="12">
        <f>IFERROR(VLOOKUP(D32,PRODUTOS!$A:$J,2,FALSE),"")</f>
        <v/>
      </c>
      <c r="F32" s="11" t="n"/>
      <c r="G32" s="13" t="n">
        <v>46326</v>
      </c>
      <c r="H32" s="11" t="inlineStr">
        <is>
          <t>DISPONÍVEL</t>
        </is>
      </c>
      <c r="I32" s="14" t="n">
        <v>4</v>
      </c>
      <c r="J32" s="15" t="n"/>
      <c r="K32" s="14">
        <f>IF(J32="","",J32-I32)</f>
        <v/>
      </c>
      <c r="L32" s="12">
        <f>IFERROR(VLOOKUP(D32,PRODUTOS!$A:$J,4,FALSE),"")</f>
        <v/>
      </c>
      <c r="M32" s="16" t="n"/>
      <c r="N32" s="11" t="inlineStr">
        <is>
          <t>Essentia Pharma</t>
        </is>
      </c>
      <c r="O32" s="11" t="n"/>
      <c r="P32" s="13" t="n"/>
      <c r="Q32" s="11" t="n"/>
      <c r="R32" s="11" t="n"/>
      <c r="S32" s="11" t="n"/>
      <c r="T32" s="12">
        <f>IF(A32&lt;&gt;"SIM","NÃO MARCADA",IF(COUNTA(B32:H32,J32,M32:N32,P32:Q32)&lt;12,"PREENCHER OBRIGATÓRIOS",IF(OR(J32&lt;0,M32&lt;0),"VALOR INVÁLIDO","OK")))</f>
        <v/>
      </c>
    </row>
    <row r="33">
      <c r="A33" s="11" t="inlineStr">
        <is>
          <t>NÃO</t>
        </is>
      </c>
      <c r="B33" s="11" t="inlineStr">
        <is>
          <t>Juazeiro do Norte</t>
        </is>
      </c>
      <c r="C33" s="11" t="inlineStr">
        <is>
          <t>Estoque Central</t>
        </is>
      </c>
      <c r="D33" s="11" t="inlineStr">
        <is>
          <t>JDO-030-EV-L-BAIBA</t>
        </is>
      </c>
      <c r="E33" s="12">
        <f>IFERROR(VLOOKUP(D33,PRODUTOS!$A:$J,2,FALSE),"")</f>
        <v/>
      </c>
      <c r="F33" s="11" t="n"/>
      <c r="G33" s="13" t="n">
        <v>46326</v>
      </c>
      <c r="H33" s="11" t="inlineStr">
        <is>
          <t>DISPONÍVEL</t>
        </is>
      </c>
      <c r="I33" s="14" t="n">
        <v>19</v>
      </c>
      <c r="J33" s="15" t="n"/>
      <c r="K33" s="14">
        <f>IF(J33="","",J33-I33)</f>
        <v/>
      </c>
      <c r="L33" s="12">
        <f>IFERROR(VLOOKUP(D33,PRODUTOS!$A:$J,4,FALSE),"")</f>
        <v/>
      </c>
      <c r="M33" s="16" t="n"/>
      <c r="N33" s="11" t="inlineStr">
        <is>
          <t>Essentia Pharma</t>
        </is>
      </c>
      <c r="O33" s="11" t="n"/>
      <c r="P33" s="13" t="n"/>
      <c r="Q33" s="11" t="n"/>
      <c r="R33" s="11" t="n"/>
      <c r="S33" s="11" t="n"/>
      <c r="T33" s="12">
        <f>IF(A33&lt;&gt;"SIM","NÃO MARCADA",IF(COUNTA(B33:H33,J33,M33:N33,P33:Q33)&lt;12,"PREENCHER OBRIGATÓRIOS",IF(OR(J33&lt;0,M33&lt;0),"VALOR INVÁLIDO","OK")))</f>
        <v/>
      </c>
    </row>
    <row r="34">
      <c r="A34" s="11" t="inlineStr">
        <is>
          <t>NÃO</t>
        </is>
      </c>
      <c r="B34" s="11" t="inlineStr">
        <is>
          <t>Juazeiro do Norte</t>
        </is>
      </c>
      <c r="C34" s="11" t="inlineStr">
        <is>
          <t>Estoque Central</t>
        </is>
      </c>
      <c r="D34" s="11" t="inlineStr">
        <is>
          <t>JDO-031-EV-L-GLUTATION</t>
        </is>
      </c>
      <c r="E34" s="12">
        <f>IFERROR(VLOOKUP(D34,PRODUTOS!$A:$J,2,FALSE),"")</f>
        <v/>
      </c>
      <c r="F34" s="11" t="n"/>
      <c r="G34" s="13" t="n">
        <v>46507</v>
      </c>
      <c r="H34" s="11" t="inlineStr">
        <is>
          <t>DISPONÍVEL</t>
        </is>
      </c>
      <c r="I34" s="14" t="n">
        <v>23</v>
      </c>
      <c r="J34" s="15" t="n"/>
      <c r="K34" s="14">
        <f>IF(J34="","",J34-I34)</f>
        <v/>
      </c>
      <c r="L34" s="12">
        <f>IFERROR(VLOOKUP(D34,PRODUTOS!$A:$J,4,FALSE),"")</f>
        <v/>
      </c>
      <c r="M34" s="16" t="n"/>
      <c r="N34" s="11" t="inlineStr">
        <is>
          <t>Stin Pharma</t>
        </is>
      </c>
      <c r="O34" s="11" t="n"/>
      <c r="P34" s="13" t="n"/>
      <c r="Q34" s="11" t="n"/>
      <c r="R34" s="11" t="n"/>
      <c r="S34" s="11" t="n"/>
      <c r="T34" s="12">
        <f>IF(A34&lt;&gt;"SIM","NÃO MARCADA",IF(COUNTA(B34:H34,J34,M34:N34,P34:Q34)&lt;12,"PREENCHER OBRIGATÓRIOS",IF(OR(J34&lt;0,M34&lt;0),"VALOR INVÁLIDO","OK")))</f>
        <v/>
      </c>
    </row>
    <row r="35">
      <c r="A35" s="11" t="inlineStr">
        <is>
          <t>NÃO</t>
        </is>
      </c>
      <c r="B35" s="11" t="inlineStr">
        <is>
          <t>Juazeiro do Norte</t>
        </is>
      </c>
      <c r="C35" s="11" t="inlineStr">
        <is>
          <t>Estoque Central</t>
        </is>
      </c>
      <c r="D35" s="11" t="inlineStr">
        <is>
          <t>JDO-032-Outra-LIDOCAINA</t>
        </is>
      </c>
      <c r="E35" s="12">
        <f>IFERROR(VLOOKUP(D35,PRODUTOS!$A:$J,2,FALSE),"")</f>
        <v/>
      </c>
      <c r="F35" s="11" t="n"/>
      <c r="G35" s="13" t="n">
        <v>46568</v>
      </c>
      <c r="H35" s="11" t="inlineStr">
        <is>
          <t>DISPONÍVEL</t>
        </is>
      </c>
      <c r="I35" s="14" t="n">
        <v>47</v>
      </c>
      <c r="J35" s="15" t="n"/>
      <c r="K35" s="14">
        <f>IF(J35="","",J35-I35)</f>
        <v/>
      </c>
      <c r="L35" s="12">
        <f>IFERROR(VLOOKUP(D35,PRODUTOS!$A:$J,4,FALSE),"")</f>
        <v/>
      </c>
      <c r="M35" s="16" t="n"/>
      <c r="N35" s="11" t="inlineStr">
        <is>
          <t>Stin Pharma</t>
        </is>
      </c>
      <c r="O35" s="11" t="n"/>
      <c r="P35" s="13" t="n"/>
      <c r="Q35" s="11" t="n"/>
      <c r="R35" s="11" t="n"/>
      <c r="S35" s="11" t="n"/>
      <c r="T35" s="12">
        <f>IF(A35&lt;&gt;"SIM","NÃO MARCADA",IF(COUNTA(B35:H35,J35,M35:N35,P35:Q35)&lt;12,"PREENCHER OBRIGATÓRIOS",IF(OR(J35&lt;0,M35&lt;0),"VALOR INVÁLIDO","OK")))</f>
        <v/>
      </c>
    </row>
    <row r="36">
      <c r="A36" s="11" t="inlineStr">
        <is>
          <t>NÃO</t>
        </is>
      </c>
      <c r="B36" s="11" t="inlineStr">
        <is>
          <t>Juazeiro do Norte</t>
        </is>
      </c>
      <c r="C36" s="11" t="inlineStr">
        <is>
          <t>Estoque Central</t>
        </is>
      </c>
      <c r="D36" s="11" t="inlineStr">
        <is>
          <t>JDO-033-EV-RESISTENCIA-INSULINICA</t>
        </is>
      </c>
      <c r="E36" s="12">
        <f>IFERROR(VLOOKUP(D36,PRODUTOS!$A:$J,2,FALSE),"")</f>
        <v/>
      </c>
      <c r="F36" s="11" t="n"/>
      <c r="G36" s="13" t="n">
        <v>46387</v>
      </c>
      <c r="H36" s="11" t="inlineStr">
        <is>
          <t>DISPONÍVEL</t>
        </is>
      </c>
      <c r="I36" s="14" t="n">
        <v>19</v>
      </c>
      <c r="J36" s="15" t="n"/>
      <c r="K36" s="14">
        <f>IF(J36="","",J36-I36)</f>
        <v/>
      </c>
      <c r="L36" s="12">
        <f>IFERROR(VLOOKUP(D36,PRODUTOS!$A:$J,4,FALSE),"")</f>
        <v/>
      </c>
      <c r="M36" s="16" t="n"/>
      <c r="N36" s="11" t="inlineStr">
        <is>
          <t>Essentia Pharma</t>
        </is>
      </c>
      <c r="O36" s="11" t="n"/>
      <c r="P36" s="13" t="n"/>
      <c r="Q36" s="11" t="n"/>
      <c r="R36" s="11" t="n"/>
      <c r="S36" s="11" t="n"/>
      <c r="T36" s="12">
        <f>IF(A36&lt;&gt;"SIM","NÃO MARCADA",IF(COUNTA(B36:H36,J36,M36:N36,P36:Q36)&lt;12,"PREENCHER OBRIGATÓRIOS",IF(OR(J36&lt;0,M36&lt;0),"VALOR INVÁLIDO","OK")))</f>
        <v/>
      </c>
    </row>
    <row r="37">
      <c r="A37" s="11" t="inlineStr">
        <is>
          <t>NÃO</t>
        </is>
      </c>
      <c r="B37" s="11" t="n"/>
      <c r="C37" s="11" t="n"/>
      <c r="D37" s="11" t="n"/>
      <c r="E37" s="12">
        <f>IFERROR(VLOOKUP(D37,PRODUTOS!$A:$J,2,FALSE),"")</f>
        <v/>
      </c>
      <c r="F37" s="11" t="n"/>
      <c r="G37" s="13" t="n"/>
      <c r="H37" s="11" t="inlineStr">
        <is>
          <t>DISPONÍVEL</t>
        </is>
      </c>
      <c r="I37" s="14" t="n"/>
      <c r="J37" s="15" t="n"/>
      <c r="K37" s="14">
        <f>IF(J37="","",J37-I37)</f>
        <v/>
      </c>
      <c r="L37" s="12">
        <f>IFERROR(VLOOKUP(D37,PRODUTOS!$A:$J,4,FALSE),"")</f>
        <v/>
      </c>
      <c r="M37" s="16" t="n"/>
      <c r="N37" s="11" t="n"/>
      <c r="O37" s="11" t="n"/>
      <c r="P37" s="13" t="n"/>
      <c r="Q37" s="11" t="n"/>
      <c r="R37" s="11" t="n"/>
      <c r="S37" s="11" t="n"/>
      <c r="T37" s="12">
        <f>IF(A37&lt;&gt;"SIM","NÃO MARCADA",IF(COUNTA(B37:H37,J37,M37:N37,P37:Q37)&lt;12,"PREENCHER OBRIGATÓRIOS",IF(OR(J37&lt;0,M37&lt;0),"VALOR INVÁLIDO","OK")))</f>
        <v/>
      </c>
    </row>
    <row r="38">
      <c r="A38" s="11" t="inlineStr">
        <is>
          <t>NÃO</t>
        </is>
      </c>
      <c r="B38" s="11" t="n"/>
      <c r="C38" s="11" t="n"/>
      <c r="D38" s="11" t="n"/>
      <c r="E38" s="12">
        <f>IFERROR(VLOOKUP(D38,PRODUTOS!$A:$J,2,FALSE),"")</f>
        <v/>
      </c>
      <c r="F38" s="11" t="n"/>
      <c r="G38" s="13" t="n"/>
      <c r="H38" s="11" t="inlineStr">
        <is>
          <t>DISPONÍVEL</t>
        </is>
      </c>
      <c r="I38" s="14" t="n"/>
      <c r="J38" s="15" t="n"/>
      <c r="K38" s="14">
        <f>IF(J38="","",J38-I38)</f>
        <v/>
      </c>
      <c r="L38" s="12">
        <f>IFERROR(VLOOKUP(D38,PRODUTOS!$A:$J,4,FALSE),"")</f>
        <v/>
      </c>
      <c r="M38" s="16" t="n"/>
      <c r="N38" s="11" t="n"/>
      <c r="O38" s="11" t="n"/>
      <c r="P38" s="13" t="n"/>
      <c r="Q38" s="11" t="n"/>
      <c r="R38" s="11" t="n"/>
      <c r="S38" s="11" t="n"/>
      <c r="T38" s="12">
        <f>IF(A38&lt;&gt;"SIM","NÃO MARCADA",IF(COUNTA(B38:H38,J38,M38:N38,P38:Q38)&lt;12,"PREENCHER OBRIGATÓRIOS",IF(OR(J38&lt;0,M38&lt;0),"VALOR INVÁLIDO","OK")))</f>
        <v/>
      </c>
    </row>
    <row r="39">
      <c r="A39" s="11" t="inlineStr">
        <is>
          <t>NÃO</t>
        </is>
      </c>
      <c r="B39" s="11" t="n"/>
      <c r="C39" s="11" t="n"/>
      <c r="D39" s="11" t="n"/>
      <c r="E39" s="12">
        <f>IFERROR(VLOOKUP(D39,PRODUTOS!$A:$J,2,FALSE),"")</f>
        <v/>
      </c>
      <c r="F39" s="11" t="n"/>
      <c r="G39" s="13" t="n"/>
      <c r="H39" s="11" t="inlineStr">
        <is>
          <t>DISPONÍVEL</t>
        </is>
      </c>
      <c r="I39" s="14" t="n"/>
      <c r="J39" s="15" t="n"/>
      <c r="K39" s="14">
        <f>IF(J39="","",J39-I39)</f>
        <v/>
      </c>
      <c r="L39" s="12">
        <f>IFERROR(VLOOKUP(D39,PRODUTOS!$A:$J,4,FALSE),"")</f>
        <v/>
      </c>
      <c r="M39" s="16" t="n"/>
      <c r="N39" s="11" t="n"/>
      <c r="O39" s="11" t="n"/>
      <c r="P39" s="13" t="n"/>
      <c r="Q39" s="11" t="n"/>
      <c r="R39" s="11" t="n"/>
      <c r="S39" s="11" t="n"/>
      <c r="T39" s="12">
        <f>IF(A39&lt;&gt;"SIM","NÃO MARCADA",IF(COUNTA(B39:H39,J39,M39:N39,P39:Q39)&lt;12,"PREENCHER OBRIGATÓRIOS",IF(OR(J39&lt;0,M39&lt;0),"VALOR INVÁLIDO","OK")))</f>
        <v/>
      </c>
    </row>
    <row r="40">
      <c r="A40" s="11" t="inlineStr">
        <is>
          <t>NÃO</t>
        </is>
      </c>
      <c r="B40" s="11" t="n"/>
      <c r="C40" s="11" t="n"/>
      <c r="D40" s="11" t="n"/>
      <c r="E40" s="12">
        <f>IFERROR(VLOOKUP(D40,PRODUTOS!$A:$J,2,FALSE),"")</f>
        <v/>
      </c>
      <c r="F40" s="11" t="n"/>
      <c r="G40" s="13" t="n"/>
      <c r="H40" s="11" t="inlineStr">
        <is>
          <t>DISPONÍVEL</t>
        </is>
      </c>
      <c r="I40" s="14" t="n"/>
      <c r="J40" s="15" t="n"/>
      <c r="K40" s="14">
        <f>IF(J40="","",J40-I40)</f>
        <v/>
      </c>
      <c r="L40" s="12">
        <f>IFERROR(VLOOKUP(D40,PRODUTOS!$A:$J,4,FALSE),"")</f>
        <v/>
      </c>
      <c r="M40" s="16" t="n"/>
      <c r="N40" s="11" t="n"/>
      <c r="O40" s="11" t="n"/>
      <c r="P40" s="13" t="n"/>
      <c r="Q40" s="11" t="n"/>
      <c r="R40" s="11" t="n"/>
      <c r="S40" s="11" t="n"/>
      <c r="T40" s="12">
        <f>IF(A40&lt;&gt;"SIM","NÃO MARCADA",IF(COUNTA(B40:H40,J40,M40:N40,P40:Q40)&lt;12,"PREENCHER OBRIGATÓRIOS",IF(OR(J40&lt;0,M40&lt;0),"VALOR INVÁLIDO","OK")))</f>
        <v/>
      </c>
    </row>
    <row r="41">
      <c r="A41" s="11" t="inlineStr">
        <is>
          <t>NÃO</t>
        </is>
      </c>
      <c r="B41" s="11" t="n"/>
      <c r="C41" s="11" t="n"/>
      <c r="D41" s="11" t="n"/>
      <c r="E41" s="12">
        <f>IFERROR(VLOOKUP(D41,PRODUTOS!$A:$J,2,FALSE),"")</f>
        <v/>
      </c>
      <c r="F41" s="11" t="n"/>
      <c r="G41" s="13" t="n"/>
      <c r="H41" s="11" t="inlineStr">
        <is>
          <t>DISPONÍVEL</t>
        </is>
      </c>
      <c r="I41" s="14" t="n"/>
      <c r="J41" s="15" t="n"/>
      <c r="K41" s="14">
        <f>IF(J41="","",J41-I41)</f>
        <v/>
      </c>
      <c r="L41" s="12">
        <f>IFERROR(VLOOKUP(D41,PRODUTOS!$A:$J,4,FALSE),"")</f>
        <v/>
      </c>
      <c r="M41" s="16" t="n"/>
      <c r="N41" s="11" t="n"/>
      <c r="O41" s="11" t="n"/>
      <c r="P41" s="13" t="n"/>
      <c r="Q41" s="11" t="n"/>
      <c r="R41" s="11" t="n"/>
      <c r="S41" s="11" t="n"/>
      <c r="T41" s="12">
        <f>IF(A41&lt;&gt;"SIM","NÃO MARCADA",IF(COUNTA(B41:H41,J41,M41:N41,P41:Q41)&lt;12,"PREENCHER OBRIGATÓRIOS",IF(OR(J41&lt;0,M41&lt;0),"VALOR INVÁLIDO","OK")))</f>
        <v/>
      </c>
    </row>
    <row r="42">
      <c r="A42" s="11" t="inlineStr">
        <is>
          <t>NÃO</t>
        </is>
      </c>
      <c r="B42" s="11" t="n"/>
      <c r="C42" s="11" t="n"/>
      <c r="D42" s="11" t="n"/>
      <c r="E42" s="12">
        <f>IFERROR(VLOOKUP(D42,PRODUTOS!$A:$J,2,FALSE),"")</f>
        <v/>
      </c>
      <c r="F42" s="11" t="n"/>
      <c r="G42" s="13" t="n"/>
      <c r="H42" s="11" t="inlineStr">
        <is>
          <t>DISPONÍVEL</t>
        </is>
      </c>
      <c r="I42" s="14" t="n"/>
      <c r="J42" s="15" t="n"/>
      <c r="K42" s="14">
        <f>IF(J42="","",J42-I42)</f>
        <v/>
      </c>
      <c r="L42" s="12">
        <f>IFERROR(VLOOKUP(D42,PRODUTOS!$A:$J,4,FALSE),"")</f>
        <v/>
      </c>
      <c r="M42" s="16" t="n"/>
      <c r="N42" s="11" t="n"/>
      <c r="O42" s="11" t="n"/>
      <c r="P42" s="13" t="n"/>
      <c r="Q42" s="11" t="n"/>
      <c r="R42" s="11" t="n"/>
      <c r="S42" s="11" t="n"/>
      <c r="T42" s="12">
        <f>IF(A42&lt;&gt;"SIM","NÃO MARCADA",IF(COUNTA(B42:H42,J42,M42:N42,P42:Q42)&lt;12,"PREENCHER OBRIGATÓRIOS",IF(OR(J42&lt;0,M42&lt;0),"VALOR INVÁLIDO","OK")))</f>
        <v/>
      </c>
    </row>
    <row r="43">
      <c r="A43" s="11" t="inlineStr">
        <is>
          <t>NÃO</t>
        </is>
      </c>
      <c r="B43" s="11" t="n"/>
      <c r="C43" s="11" t="n"/>
      <c r="D43" s="11" t="n"/>
      <c r="E43" s="12">
        <f>IFERROR(VLOOKUP(D43,PRODUTOS!$A:$J,2,FALSE),"")</f>
        <v/>
      </c>
      <c r="F43" s="11" t="n"/>
      <c r="G43" s="13" t="n"/>
      <c r="H43" s="11" t="inlineStr">
        <is>
          <t>DISPONÍVEL</t>
        </is>
      </c>
      <c r="I43" s="14" t="n"/>
      <c r="J43" s="15" t="n"/>
      <c r="K43" s="14">
        <f>IF(J43="","",J43-I43)</f>
        <v/>
      </c>
      <c r="L43" s="12">
        <f>IFERROR(VLOOKUP(D43,PRODUTOS!$A:$J,4,FALSE),"")</f>
        <v/>
      </c>
      <c r="M43" s="16" t="n"/>
      <c r="N43" s="11" t="n"/>
      <c r="O43" s="11" t="n"/>
      <c r="P43" s="13" t="n"/>
      <c r="Q43" s="11" t="n"/>
      <c r="R43" s="11" t="n"/>
      <c r="S43" s="11" t="n"/>
      <c r="T43" s="12">
        <f>IF(A43&lt;&gt;"SIM","NÃO MARCADA",IF(COUNTA(B43:H43,J43,M43:N43,P43:Q43)&lt;12,"PREENCHER OBRIGATÓRIOS",IF(OR(J43&lt;0,M43&lt;0),"VALOR INVÁLIDO","OK")))</f>
        <v/>
      </c>
    </row>
    <row r="44">
      <c r="A44" s="11" t="inlineStr">
        <is>
          <t>NÃO</t>
        </is>
      </c>
      <c r="B44" s="11" t="n"/>
      <c r="C44" s="11" t="n"/>
      <c r="D44" s="11" t="n"/>
      <c r="E44" s="12">
        <f>IFERROR(VLOOKUP(D44,PRODUTOS!$A:$J,2,FALSE),"")</f>
        <v/>
      </c>
      <c r="F44" s="11" t="n"/>
      <c r="G44" s="13" t="n"/>
      <c r="H44" s="11" t="inlineStr">
        <is>
          <t>DISPONÍVEL</t>
        </is>
      </c>
      <c r="I44" s="14" t="n"/>
      <c r="J44" s="15" t="n"/>
      <c r="K44" s="14">
        <f>IF(J44="","",J44-I44)</f>
        <v/>
      </c>
      <c r="L44" s="12">
        <f>IFERROR(VLOOKUP(D44,PRODUTOS!$A:$J,4,FALSE),"")</f>
        <v/>
      </c>
      <c r="M44" s="16" t="n"/>
      <c r="N44" s="11" t="n"/>
      <c r="O44" s="11" t="n"/>
      <c r="P44" s="13" t="n"/>
      <c r="Q44" s="11" t="n"/>
      <c r="R44" s="11" t="n"/>
      <c r="S44" s="11" t="n"/>
      <c r="T44" s="12">
        <f>IF(A44&lt;&gt;"SIM","NÃO MARCADA",IF(COUNTA(B44:H44,J44,M44:N44,P44:Q44)&lt;12,"PREENCHER OBRIGATÓRIOS",IF(OR(J44&lt;0,M44&lt;0),"VALOR INVÁLIDO","OK")))</f>
        <v/>
      </c>
    </row>
    <row r="45">
      <c r="A45" s="11" t="inlineStr">
        <is>
          <t>NÃO</t>
        </is>
      </c>
      <c r="B45" s="11" t="n"/>
      <c r="C45" s="11" t="n"/>
      <c r="D45" s="11" t="n"/>
      <c r="E45" s="12">
        <f>IFERROR(VLOOKUP(D45,PRODUTOS!$A:$J,2,FALSE),"")</f>
        <v/>
      </c>
      <c r="F45" s="11" t="n"/>
      <c r="G45" s="13" t="n"/>
      <c r="H45" s="11" t="inlineStr">
        <is>
          <t>DISPONÍVEL</t>
        </is>
      </c>
      <c r="I45" s="14" t="n"/>
      <c r="J45" s="15" t="n"/>
      <c r="K45" s="14">
        <f>IF(J45="","",J45-I45)</f>
        <v/>
      </c>
      <c r="L45" s="12">
        <f>IFERROR(VLOOKUP(D45,PRODUTOS!$A:$J,4,FALSE),"")</f>
        <v/>
      </c>
      <c r="M45" s="16" t="n"/>
      <c r="N45" s="11" t="n"/>
      <c r="O45" s="11" t="n"/>
      <c r="P45" s="13" t="n"/>
      <c r="Q45" s="11" t="n"/>
      <c r="R45" s="11" t="n"/>
      <c r="S45" s="11" t="n"/>
      <c r="T45" s="12">
        <f>IF(A45&lt;&gt;"SIM","NÃO MARCADA",IF(COUNTA(B45:H45,J45,M45:N45,P45:Q45)&lt;12,"PREENCHER OBRIGATÓRIOS",IF(OR(J45&lt;0,M45&lt;0),"VALOR INVÁLIDO","OK")))</f>
        <v/>
      </c>
    </row>
    <row r="46">
      <c r="A46" s="11" t="inlineStr">
        <is>
          <t>NÃO</t>
        </is>
      </c>
      <c r="B46" s="11" t="n"/>
      <c r="C46" s="11" t="n"/>
      <c r="D46" s="11" t="n"/>
      <c r="E46" s="12">
        <f>IFERROR(VLOOKUP(D46,PRODUTOS!$A:$J,2,FALSE),"")</f>
        <v/>
      </c>
      <c r="F46" s="11" t="n"/>
      <c r="G46" s="13" t="n"/>
      <c r="H46" s="11" t="inlineStr">
        <is>
          <t>DISPONÍVEL</t>
        </is>
      </c>
      <c r="I46" s="14" t="n"/>
      <c r="J46" s="15" t="n"/>
      <c r="K46" s="14">
        <f>IF(J46="","",J46-I46)</f>
        <v/>
      </c>
      <c r="L46" s="12">
        <f>IFERROR(VLOOKUP(D46,PRODUTOS!$A:$J,4,FALSE),"")</f>
        <v/>
      </c>
      <c r="M46" s="16" t="n"/>
      <c r="N46" s="11" t="n"/>
      <c r="O46" s="11" t="n"/>
      <c r="P46" s="13" t="n"/>
      <c r="Q46" s="11" t="n"/>
      <c r="R46" s="11" t="n"/>
      <c r="S46" s="11" t="n"/>
      <c r="T46" s="12">
        <f>IF(A46&lt;&gt;"SIM","NÃO MARCADA",IF(COUNTA(B46:H46,J46,M46:N46,P46:Q46)&lt;12,"PREENCHER OBRIGATÓRIOS",IF(OR(J46&lt;0,M46&lt;0),"VALOR INVÁLIDO","OK")))</f>
        <v/>
      </c>
    </row>
    <row r="47">
      <c r="A47" s="11" t="inlineStr">
        <is>
          <t>NÃO</t>
        </is>
      </c>
      <c r="B47" s="11" t="n"/>
      <c r="C47" s="11" t="n"/>
      <c r="D47" s="11" t="n"/>
      <c r="E47" s="12">
        <f>IFERROR(VLOOKUP(D47,PRODUTOS!$A:$J,2,FALSE),"")</f>
        <v/>
      </c>
      <c r="F47" s="11" t="n"/>
      <c r="G47" s="13" t="n"/>
      <c r="H47" s="11" t="inlineStr">
        <is>
          <t>DISPONÍVEL</t>
        </is>
      </c>
      <c r="I47" s="14" t="n"/>
      <c r="J47" s="15" t="n"/>
      <c r="K47" s="14">
        <f>IF(J47="","",J47-I47)</f>
        <v/>
      </c>
      <c r="L47" s="12">
        <f>IFERROR(VLOOKUP(D47,PRODUTOS!$A:$J,4,FALSE),"")</f>
        <v/>
      </c>
      <c r="M47" s="16" t="n"/>
      <c r="N47" s="11" t="n"/>
      <c r="O47" s="11" t="n"/>
      <c r="P47" s="13" t="n"/>
      <c r="Q47" s="11" t="n"/>
      <c r="R47" s="11" t="n"/>
      <c r="S47" s="11" t="n"/>
      <c r="T47" s="12">
        <f>IF(A47&lt;&gt;"SIM","NÃO MARCADA",IF(COUNTA(B47:H47,J47,M47:N47,P47:Q47)&lt;12,"PREENCHER OBRIGATÓRIOS",IF(OR(J47&lt;0,M47&lt;0),"VALOR INVÁLIDO","OK")))</f>
        <v/>
      </c>
    </row>
    <row r="48">
      <c r="A48" s="11" t="inlineStr">
        <is>
          <t>NÃO</t>
        </is>
      </c>
      <c r="B48" s="11" t="n"/>
      <c r="C48" s="11" t="n"/>
      <c r="D48" s="11" t="n"/>
      <c r="E48" s="12">
        <f>IFERROR(VLOOKUP(D48,PRODUTOS!$A:$J,2,FALSE),"")</f>
        <v/>
      </c>
      <c r="F48" s="11" t="n"/>
      <c r="G48" s="13" t="n"/>
      <c r="H48" s="11" t="inlineStr">
        <is>
          <t>DISPONÍVEL</t>
        </is>
      </c>
      <c r="I48" s="14" t="n"/>
      <c r="J48" s="15" t="n"/>
      <c r="K48" s="14">
        <f>IF(J48="","",J48-I48)</f>
        <v/>
      </c>
      <c r="L48" s="12">
        <f>IFERROR(VLOOKUP(D48,PRODUTOS!$A:$J,4,FALSE),"")</f>
        <v/>
      </c>
      <c r="M48" s="16" t="n"/>
      <c r="N48" s="11" t="n"/>
      <c r="O48" s="11" t="n"/>
      <c r="P48" s="13" t="n"/>
      <c r="Q48" s="11" t="n"/>
      <c r="R48" s="11" t="n"/>
      <c r="S48" s="11" t="n"/>
      <c r="T48" s="12">
        <f>IF(A48&lt;&gt;"SIM","NÃO MARCADA",IF(COUNTA(B48:H48,J48,M48:N48,P48:Q48)&lt;12,"PREENCHER OBRIGATÓRIOS",IF(OR(J48&lt;0,M48&lt;0),"VALOR INVÁLIDO","OK")))</f>
        <v/>
      </c>
    </row>
    <row r="49">
      <c r="A49" s="11" t="inlineStr">
        <is>
          <t>NÃO</t>
        </is>
      </c>
      <c r="B49" s="11" t="n"/>
      <c r="C49" s="11" t="n"/>
      <c r="D49" s="11" t="n"/>
      <c r="E49" s="12">
        <f>IFERROR(VLOOKUP(D49,PRODUTOS!$A:$J,2,FALSE),"")</f>
        <v/>
      </c>
      <c r="F49" s="11" t="n"/>
      <c r="G49" s="13" t="n"/>
      <c r="H49" s="11" t="inlineStr">
        <is>
          <t>DISPONÍVEL</t>
        </is>
      </c>
      <c r="I49" s="14" t="n"/>
      <c r="J49" s="15" t="n"/>
      <c r="K49" s="14">
        <f>IF(J49="","",J49-I49)</f>
        <v/>
      </c>
      <c r="L49" s="12">
        <f>IFERROR(VLOOKUP(D49,PRODUTOS!$A:$J,4,FALSE),"")</f>
        <v/>
      </c>
      <c r="M49" s="16" t="n"/>
      <c r="N49" s="11" t="n"/>
      <c r="O49" s="11" t="n"/>
      <c r="P49" s="13" t="n"/>
      <c r="Q49" s="11" t="n"/>
      <c r="R49" s="11" t="n"/>
      <c r="S49" s="11" t="n"/>
      <c r="T49" s="12">
        <f>IF(A49&lt;&gt;"SIM","NÃO MARCADA",IF(COUNTA(B49:H49,J49,M49:N49,P49:Q49)&lt;12,"PREENCHER OBRIGATÓRIOS",IF(OR(J49&lt;0,M49&lt;0),"VALOR INVÁLIDO","OK")))</f>
        <v/>
      </c>
    </row>
    <row r="50">
      <c r="A50" s="11" t="inlineStr">
        <is>
          <t>NÃO</t>
        </is>
      </c>
      <c r="B50" s="11" t="n"/>
      <c r="C50" s="11" t="n"/>
      <c r="D50" s="11" t="n"/>
      <c r="E50" s="12">
        <f>IFERROR(VLOOKUP(D50,PRODUTOS!$A:$J,2,FALSE),"")</f>
        <v/>
      </c>
      <c r="F50" s="11" t="n"/>
      <c r="G50" s="13" t="n"/>
      <c r="H50" s="11" t="inlineStr">
        <is>
          <t>DISPONÍVEL</t>
        </is>
      </c>
      <c r="I50" s="14" t="n"/>
      <c r="J50" s="15" t="n"/>
      <c r="K50" s="14">
        <f>IF(J50="","",J50-I50)</f>
        <v/>
      </c>
      <c r="L50" s="12">
        <f>IFERROR(VLOOKUP(D50,PRODUTOS!$A:$J,4,FALSE),"")</f>
        <v/>
      </c>
      <c r="M50" s="16" t="n"/>
      <c r="N50" s="11" t="n"/>
      <c r="O50" s="11" t="n"/>
      <c r="P50" s="13" t="n"/>
      <c r="Q50" s="11" t="n"/>
      <c r="R50" s="11" t="n"/>
      <c r="S50" s="11" t="n"/>
      <c r="T50" s="12">
        <f>IF(A50&lt;&gt;"SIM","NÃO MARCADA",IF(COUNTA(B50:H50,J50,M50:N50,P50:Q50)&lt;12,"PREENCHER OBRIGATÓRIOS",IF(OR(J50&lt;0,M50&lt;0),"VALOR INVÁLIDO","OK")))</f>
        <v/>
      </c>
    </row>
    <row r="51">
      <c r="A51" s="11" t="inlineStr">
        <is>
          <t>NÃO</t>
        </is>
      </c>
      <c r="B51" s="11" t="n"/>
      <c r="C51" s="11" t="n"/>
      <c r="D51" s="11" t="n"/>
      <c r="E51" s="12">
        <f>IFERROR(VLOOKUP(D51,PRODUTOS!$A:$J,2,FALSE),"")</f>
        <v/>
      </c>
      <c r="F51" s="11" t="n"/>
      <c r="G51" s="13" t="n"/>
      <c r="H51" s="11" t="inlineStr">
        <is>
          <t>DISPONÍVEL</t>
        </is>
      </c>
      <c r="I51" s="14" t="n"/>
      <c r="J51" s="15" t="n"/>
      <c r="K51" s="14">
        <f>IF(J51="","",J51-I51)</f>
        <v/>
      </c>
      <c r="L51" s="12">
        <f>IFERROR(VLOOKUP(D51,PRODUTOS!$A:$J,4,FALSE),"")</f>
        <v/>
      </c>
      <c r="M51" s="16" t="n"/>
      <c r="N51" s="11" t="n"/>
      <c r="O51" s="11" t="n"/>
      <c r="P51" s="13" t="n"/>
      <c r="Q51" s="11" t="n"/>
      <c r="R51" s="11" t="n"/>
      <c r="S51" s="11" t="n"/>
      <c r="T51" s="12">
        <f>IF(A51&lt;&gt;"SIM","NÃO MARCADA",IF(COUNTA(B51:H51,J51,M51:N51,P51:Q51)&lt;12,"PREENCHER OBRIGATÓRIOS",IF(OR(J51&lt;0,M51&lt;0),"VALOR INVÁLIDO","OK")))</f>
        <v/>
      </c>
    </row>
    <row r="52">
      <c r="A52" s="11" t="inlineStr">
        <is>
          <t>NÃO</t>
        </is>
      </c>
      <c r="B52" s="11" t="n"/>
      <c r="C52" s="11" t="n"/>
      <c r="D52" s="11" t="n"/>
      <c r="E52" s="12">
        <f>IFERROR(VLOOKUP(D52,PRODUTOS!$A:$J,2,FALSE),"")</f>
        <v/>
      </c>
      <c r="F52" s="11" t="n"/>
      <c r="G52" s="13" t="n"/>
      <c r="H52" s="11" t="inlineStr">
        <is>
          <t>DISPONÍVEL</t>
        </is>
      </c>
      <c r="I52" s="14" t="n"/>
      <c r="J52" s="15" t="n"/>
      <c r="K52" s="14">
        <f>IF(J52="","",J52-I52)</f>
        <v/>
      </c>
      <c r="L52" s="12">
        <f>IFERROR(VLOOKUP(D52,PRODUTOS!$A:$J,4,FALSE),"")</f>
        <v/>
      </c>
      <c r="M52" s="16" t="n"/>
      <c r="N52" s="11" t="n"/>
      <c r="O52" s="11" t="n"/>
      <c r="P52" s="13" t="n"/>
      <c r="Q52" s="11" t="n"/>
      <c r="R52" s="11" t="n"/>
      <c r="S52" s="11" t="n"/>
      <c r="T52" s="12">
        <f>IF(A52&lt;&gt;"SIM","NÃO MARCADA",IF(COUNTA(B52:H52,J52,M52:N52,P52:Q52)&lt;12,"PREENCHER OBRIGATÓRIOS",IF(OR(J52&lt;0,M52&lt;0),"VALOR INVÁLIDO","OK")))</f>
        <v/>
      </c>
    </row>
    <row r="53">
      <c r="A53" s="11" t="inlineStr">
        <is>
          <t>NÃO</t>
        </is>
      </c>
      <c r="B53" s="11" t="n"/>
      <c r="C53" s="11" t="n"/>
      <c r="D53" s="11" t="n"/>
      <c r="E53" s="12">
        <f>IFERROR(VLOOKUP(D53,PRODUTOS!$A:$J,2,FALSE),"")</f>
        <v/>
      </c>
      <c r="F53" s="11" t="n"/>
      <c r="G53" s="13" t="n"/>
      <c r="H53" s="11" t="inlineStr">
        <is>
          <t>DISPONÍVEL</t>
        </is>
      </c>
      <c r="I53" s="14" t="n"/>
      <c r="J53" s="15" t="n"/>
      <c r="K53" s="14">
        <f>IF(J53="","",J53-I53)</f>
        <v/>
      </c>
      <c r="L53" s="12">
        <f>IFERROR(VLOOKUP(D53,PRODUTOS!$A:$J,4,FALSE),"")</f>
        <v/>
      </c>
      <c r="M53" s="16" t="n"/>
      <c r="N53" s="11" t="n"/>
      <c r="O53" s="11" t="n"/>
      <c r="P53" s="13" t="n"/>
      <c r="Q53" s="11" t="n"/>
      <c r="R53" s="11" t="n"/>
      <c r="S53" s="11" t="n"/>
      <c r="T53" s="12">
        <f>IF(A53&lt;&gt;"SIM","NÃO MARCADA",IF(COUNTA(B53:H53,J53,M53:N53,P53:Q53)&lt;12,"PREENCHER OBRIGATÓRIOS",IF(OR(J53&lt;0,M53&lt;0),"VALOR INVÁLIDO","OK")))</f>
        <v/>
      </c>
    </row>
    <row r="54">
      <c r="A54" s="11" t="inlineStr">
        <is>
          <t>NÃO</t>
        </is>
      </c>
      <c r="B54" s="11" t="n"/>
      <c r="C54" s="11" t="n"/>
      <c r="D54" s="11" t="n"/>
      <c r="E54" s="12">
        <f>IFERROR(VLOOKUP(D54,PRODUTOS!$A:$J,2,FALSE),"")</f>
        <v/>
      </c>
      <c r="F54" s="11" t="n"/>
      <c r="G54" s="13" t="n"/>
      <c r="H54" s="11" t="inlineStr">
        <is>
          <t>DISPONÍVEL</t>
        </is>
      </c>
      <c r="I54" s="14" t="n"/>
      <c r="J54" s="15" t="n"/>
      <c r="K54" s="14">
        <f>IF(J54="","",J54-I54)</f>
        <v/>
      </c>
      <c r="L54" s="12">
        <f>IFERROR(VLOOKUP(D54,PRODUTOS!$A:$J,4,FALSE),"")</f>
        <v/>
      </c>
      <c r="M54" s="16" t="n"/>
      <c r="N54" s="11" t="n"/>
      <c r="O54" s="11" t="n"/>
      <c r="P54" s="13" t="n"/>
      <c r="Q54" s="11" t="n"/>
      <c r="R54" s="11" t="n"/>
      <c r="S54" s="11" t="n"/>
      <c r="T54" s="12">
        <f>IF(A54&lt;&gt;"SIM","NÃO MARCADA",IF(COUNTA(B54:H54,J54,M54:N54,P54:Q54)&lt;12,"PREENCHER OBRIGATÓRIOS",IF(OR(J54&lt;0,M54&lt;0),"VALOR INVÁLIDO","OK")))</f>
        <v/>
      </c>
    </row>
    <row r="55">
      <c r="A55" s="11" t="inlineStr">
        <is>
          <t>NÃO</t>
        </is>
      </c>
      <c r="B55" s="11" t="n"/>
      <c r="C55" s="11" t="n"/>
      <c r="D55" s="11" t="n"/>
      <c r="E55" s="12">
        <f>IFERROR(VLOOKUP(D55,PRODUTOS!$A:$J,2,FALSE),"")</f>
        <v/>
      </c>
      <c r="F55" s="11" t="n"/>
      <c r="G55" s="13" t="n"/>
      <c r="H55" s="11" t="inlineStr">
        <is>
          <t>DISPONÍVEL</t>
        </is>
      </c>
      <c r="I55" s="14" t="n"/>
      <c r="J55" s="15" t="n"/>
      <c r="K55" s="14">
        <f>IF(J55="","",J55-I55)</f>
        <v/>
      </c>
      <c r="L55" s="12">
        <f>IFERROR(VLOOKUP(D55,PRODUTOS!$A:$J,4,FALSE),"")</f>
        <v/>
      </c>
      <c r="M55" s="16" t="n"/>
      <c r="N55" s="11" t="n"/>
      <c r="O55" s="11" t="n"/>
      <c r="P55" s="13" t="n"/>
      <c r="Q55" s="11" t="n"/>
      <c r="R55" s="11" t="n"/>
      <c r="S55" s="11" t="n"/>
      <c r="T55" s="12">
        <f>IF(A55&lt;&gt;"SIM","NÃO MARCADA",IF(COUNTA(B55:H55,J55,M55:N55,P55:Q55)&lt;12,"PREENCHER OBRIGATÓRIOS",IF(OR(J55&lt;0,M55&lt;0),"VALOR INVÁLIDO","OK")))</f>
        <v/>
      </c>
    </row>
    <row r="56">
      <c r="A56" s="11" t="inlineStr">
        <is>
          <t>NÃO</t>
        </is>
      </c>
      <c r="B56" s="11" t="n"/>
      <c r="C56" s="11" t="n"/>
      <c r="D56" s="11" t="n"/>
      <c r="E56" s="12">
        <f>IFERROR(VLOOKUP(D56,PRODUTOS!$A:$J,2,FALSE),"")</f>
        <v/>
      </c>
      <c r="F56" s="11" t="n"/>
      <c r="G56" s="13" t="n"/>
      <c r="H56" s="11" t="inlineStr">
        <is>
          <t>DISPONÍVEL</t>
        </is>
      </c>
      <c r="I56" s="14" t="n"/>
      <c r="J56" s="15" t="n"/>
      <c r="K56" s="14">
        <f>IF(J56="","",J56-I56)</f>
        <v/>
      </c>
      <c r="L56" s="12">
        <f>IFERROR(VLOOKUP(D56,PRODUTOS!$A:$J,4,FALSE),"")</f>
        <v/>
      </c>
      <c r="M56" s="16" t="n"/>
      <c r="N56" s="11" t="n"/>
      <c r="O56" s="11" t="n"/>
      <c r="P56" s="13" t="n"/>
      <c r="Q56" s="11" t="n"/>
      <c r="R56" s="11" t="n"/>
      <c r="S56" s="11" t="n"/>
      <c r="T56" s="12">
        <f>IF(A56&lt;&gt;"SIM","NÃO MARCADA",IF(COUNTA(B56:H56,J56,M56:N56,P56:Q56)&lt;12,"PREENCHER OBRIGATÓRIOS",IF(OR(J56&lt;0,M56&lt;0),"VALOR INVÁLIDO","OK")))</f>
        <v/>
      </c>
    </row>
    <row r="57">
      <c r="A57" s="11" t="inlineStr">
        <is>
          <t>NÃO</t>
        </is>
      </c>
      <c r="B57" s="11" t="n"/>
      <c r="C57" s="11" t="n"/>
      <c r="D57" s="11" t="n"/>
      <c r="E57" s="12">
        <f>IFERROR(VLOOKUP(D57,PRODUTOS!$A:$J,2,FALSE),"")</f>
        <v/>
      </c>
      <c r="F57" s="11" t="n"/>
      <c r="G57" s="13" t="n"/>
      <c r="H57" s="11" t="inlineStr">
        <is>
          <t>DISPONÍVEL</t>
        </is>
      </c>
      <c r="I57" s="14" t="n"/>
      <c r="J57" s="15" t="n"/>
      <c r="K57" s="14">
        <f>IF(J57="","",J57-I57)</f>
        <v/>
      </c>
      <c r="L57" s="12">
        <f>IFERROR(VLOOKUP(D57,PRODUTOS!$A:$J,4,FALSE),"")</f>
        <v/>
      </c>
      <c r="M57" s="16" t="n"/>
      <c r="N57" s="11" t="n"/>
      <c r="O57" s="11" t="n"/>
      <c r="P57" s="13" t="n"/>
      <c r="Q57" s="11" t="n"/>
      <c r="R57" s="11" t="n"/>
      <c r="S57" s="11" t="n"/>
      <c r="T57" s="12">
        <f>IF(A57&lt;&gt;"SIM","NÃO MARCADA",IF(COUNTA(B57:H57,J57,M57:N57,P57:Q57)&lt;12,"PREENCHER OBRIGATÓRIOS",IF(OR(J57&lt;0,M57&lt;0),"VALOR INVÁLIDO","OK")))</f>
        <v/>
      </c>
    </row>
    <row r="58">
      <c r="A58" s="11" t="inlineStr">
        <is>
          <t>NÃO</t>
        </is>
      </c>
      <c r="B58" s="11" t="n"/>
      <c r="C58" s="11" t="n"/>
      <c r="D58" s="11" t="n"/>
      <c r="E58" s="12">
        <f>IFERROR(VLOOKUP(D58,PRODUTOS!$A:$J,2,FALSE),"")</f>
        <v/>
      </c>
      <c r="F58" s="11" t="n"/>
      <c r="G58" s="13" t="n"/>
      <c r="H58" s="11" t="inlineStr">
        <is>
          <t>DISPONÍVEL</t>
        </is>
      </c>
      <c r="I58" s="14" t="n"/>
      <c r="J58" s="15" t="n"/>
      <c r="K58" s="14">
        <f>IF(J58="","",J58-I58)</f>
        <v/>
      </c>
      <c r="L58" s="12">
        <f>IFERROR(VLOOKUP(D58,PRODUTOS!$A:$J,4,FALSE),"")</f>
        <v/>
      </c>
      <c r="M58" s="16" t="n"/>
      <c r="N58" s="11" t="n"/>
      <c r="O58" s="11" t="n"/>
      <c r="P58" s="13" t="n"/>
      <c r="Q58" s="11" t="n"/>
      <c r="R58" s="11" t="n"/>
      <c r="S58" s="11" t="n"/>
      <c r="T58" s="12">
        <f>IF(A58&lt;&gt;"SIM","NÃO MARCADA",IF(COUNTA(B58:H58,J58,M58:N58,P58:Q58)&lt;12,"PREENCHER OBRIGATÓRIOS",IF(OR(J58&lt;0,M58&lt;0),"VALOR INVÁLIDO","OK")))</f>
        <v/>
      </c>
    </row>
    <row r="59">
      <c r="A59" s="11" t="inlineStr">
        <is>
          <t>NÃO</t>
        </is>
      </c>
      <c r="B59" s="11" t="n"/>
      <c r="C59" s="11" t="n"/>
      <c r="D59" s="11" t="n"/>
      <c r="E59" s="12">
        <f>IFERROR(VLOOKUP(D59,PRODUTOS!$A:$J,2,FALSE),"")</f>
        <v/>
      </c>
      <c r="F59" s="11" t="n"/>
      <c r="G59" s="13" t="n"/>
      <c r="H59" s="11" t="inlineStr">
        <is>
          <t>DISPONÍVEL</t>
        </is>
      </c>
      <c r="I59" s="14" t="n"/>
      <c r="J59" s="15" t="n"/>
      <c r="K59" s="14">
        <f>IF(J59="","",J59-I59)</f>
        <v/>
      </c>
      <c r="L59" s="12">
        <f>IFERROR(VLOOKUP(D59,PRODUTOS!$A:$J,4,FALSE),"")</f>
        <v/>
      </c>
      <c r="M59" s="16" t="n"/>
      <c r="N59" s="11" t="n"/>
      <c r="O59" s="11" t="n"/>
      <c r="P59" s="13" t="n"/>
      <c r="Q59" s="11" t="n"/>
      <c r="R59" s="11" t="n"/>
      <c r="S59" s="11" t="n"/>
      <c r="T59" s="12">
        <f>IF(A59&lt;&gt;"SIM","NÃO MARCADA",IF(COUNTA(B59:H59,J59,M59:N59,P59:Q59)&lt;12,"PREENCHER OBRIGATÓRIOS",IF(OR(J59&lt;0,M59&lt;0),"VALOR INVÁLIDO","OK")))</f>
        <v/>
      </c>
    </row>
    <row r="60">
      <c r="A60" s="11" t="inlineStr">
        <is>
          <t>NÃO</t>
        </is>
      </c>
      <c r="B60" s="11" t="n"/>
      <c r="C60" s="11" t="n"/>
      <c r="D60" s="11" t="n"/>
      <c r="E60" s="12">
        <f>IFERROR(VLOOKUP(D60,PRODUTOS!$A:$J,2,FALSE),"")</f>
        <v/>
      </c>
      <c r="F60" s="11" t="n"/>
      <c r="G60" s="13" t="n"/>
      <c r="H60" s="11" t="inlineStr">
        <is>
          <t>DISPONÍVEL</t>
        </is>
      </c>
      <c r="I60" s="14" t="n"/>
      <c r="J60" s="15" t="n"/>
      <c r="K60" s="14">
        <f>IF(J60="","",J60-I60)</f>
        <v/>
      </c>
      <c r="L60" s="12">
        <f>IFERROR(VLOOKUP(D60,PRODUTOS!$A:$J,4,FALSE),"")</f>
        <v/>
      </c>
      <c r="M60" s="16" t="n"/>
      <c r="N60" s="11" t="n"/>
      <c r="O60" s="11" t="n"/>
      <c r="P60" s="13" t="n"/>
      <c r="Q60" s="11" t="n"/>
      <c r="R60" s="11" t="n"/>
      <c r="S60" s="11" t="n"/>
      <c r="T60" s="12">
        <f>IF(A60&lt;&gt;"SIM","NÃO MARCADA",IF(COUNTA(B60:H60,J60,M60:N60,P60:Q60)&lt;12,"PREENCHER OBRIGATÓRIOS",IF(OR(J60&lt;0,M60&lt;0),"VALOR INVÁLIDO","OK")))</f>
        <v/>
      </c>
    </row>
    <row r="61">
      <c r="A61" s="11" t="inlineStr">
        <is>
          <t>NÃO</t>
        </is>
      </c>
      <c r="B61" s="11" t="n"/>
      <c r="C61" s="11" t="n"/>
      <c r="D61" s="11" t="n"/>
      <c r="E61" s="12">
        <f>IFERROR(VLOOKUP(D61,PRODUTOS!$A:$J,2,FALSE),"")</f>
        <v/>
      </c>
      <c r="F61" s="11" t="n"/>
      <c r="G61" s="13" t="n"/>
      <c r="H61" s="11" t="inlineStr">
        <is>
          <t>DISPONÍVEL</t>
        </is>
      </c>
      <c r="I61" s="14" t="n"/>
      <c r="J61" s="15" t="n"/>
      <c r="K61" s="14">
        <f>IF(J61="","",J61-I61)</f>
        <v/>
      </c>
      <c r="L61" s="12">
        <f>IFERROR(VLOOKUP(D61,PRODUTOS!$A:$J,4,FALSE),"")</f>
        <v/>
      </c>
      <c r="M61" s="16" t="n"/>
      <c r="N61" s="11" t="n"/>
      <c r="O61" s="11" t="n"/>
      <c r="P61" s="13" t="n"/>
      <c r="Q61" s="11" t="n"/>
      <c r="R61" s="11" t="n"/>
      <c r="S61" s="11" t="n"/>
      <c r="T61" s="12">
        <f>IF(A61&lt;&gt;"SIM","NÃO MARCADA",IF(COUNTA(B61:H61,J61,M61:N61,P61:Q61)&lt;12,"PREENCHER OBRIGATÓRIOS",IF(OR(J61&lt;0,M61&lt;0),"VALOR INVÁLIDO","OK")))</f>
        <v/>
      </c>
    </row>
    <row r="62">
      <c r="A62" s="11" t="inlineStr">
        <is>
          <t>NÃO</t>
        </is>
      </c>
      <c r="B62" s="11" t="n"/>
      <c r="C62" s="11" t="n"/>
      <c r="D62" s="11" t="n"/>
      <c r="E62" s="12">
        <f>IFERROR(VLOOKUP(D62,PRODUTOS!$A:$J,2,FALSE),"")</f>
        <v/>
      </c>
      <c r="F62" s="11" t="n"/>
      <c r="G62" s="13" t="n"/>
      <c r="H62" s="11" t="inlineStr">
        <is>
          <t>DISPONÍVEL</t>
        </is>
      </c>
      <c r="I62" s="14" t="n"/>
      <c r="J62" s="15" t="n"/>
      <c r="K62" s="14">
        <f>IF(J62="","",J62-I62)</f>
        <v/>
      </c>
      <c r="L62" s="12">
        <f>IFERROR(VLOOKUP(D62,PRODUTOS!$A:$J,4,FALSE),"")</f>
        <v/>
      </c>
      <c r="M62" s="16" t="n"/>
      <c r="N62" s="11" t="n"/>
      <c r="O62" s="11" t="n"/>
      <c r="P62" s="13" t="n"/>
      <c r="Q62" s="11" t="n"/>
      <c r="R62" s="11" t="n"/>
      <c r="S62" s="11" t="n"/>
      <c r="T62" s="12">
        <f>IF(A62&lt;&gt;"SIM","NÃO MARCADA",IF(COUNTA(B62:H62,J62,M62:N62,P62:Q62)&lt;12,"PREENCHER OBRIGATÓRIOS",IF(OR(J62&lt;0,M62&lt;0),"VALOR INVÁLIDO","OK")))</f>
        <v/>
      </c>
    </row>
    <row r="63">
      <c r="A63" s="11" t="inlineStr">
        <is>
          <t>NÃO</t>
        </is>
      </c>
      <c r="B63" s="11" t="n"/>
      <c r="C63" s="11" t="n"/>
      <c r="D63" s="11" t="n"/>
      <c r="E63" s="12">
        <f>IFERROR(VLOOKUP(D63,PRODUTOS!$A:$J,2,FALSE),"")</f>
        <v/>
      </c>
      <c r="F63" s="11" t="n"/>
      <c r="G63" s="13" t="n"/>
      <c r="H63" s="11" t="inlineStr">
        <is>
          <t>DISPONÍVEL</t>
        </is>
      </c>
      <c r="I63" s="14" t="n"/>
      <c r="J63" s="15" t="n"/>
      <c r="K63" s="14">
        <f>IF(J63="","",J63-I63)</f>
        <v/>
      </c>
      <c r="L63" s="12">
        <f>IFERROR(VLOOKUP(D63,PRODUTOS!$A:$J,4,FALSE),"")</f>
        <v/>
      </c>
      <c r="M63" s="16" t="n"/>
      <c r="N63" s="11" t="n"/>
      <c r="O63" s="11" t="n"/>
      <c r="P63" s="13" t="n"/>
      <c r="Q63" s="11" t="n"/>
      <c r="R63" s="11" t="n"/>
      <c r="S63" s="11" t="n"/>
      <c r="T63" s="12">
        <f>IF(A63&lt;&gt;"SIM","NÃO MARCADA",IF(COUNTA(B63:H63,J63,M63:N63,P63:Q63)&lt;12,"PREENCHER OBRIGATÓRIOS",IF(OR(J63&lt;0,M63&lt;0),"VALOR INVÁLIDO","OK")))</f>
        <v/>
      </c>
    </row>
    <row r="64">
      <c r="A64" s="11" t="inlineStr">
        <is>
          <t>NÃO</t>
        </is>
      </c>
      <c r="B64" s="11" t="n"/>
      <c r="C64" s="11" t="n"/>
      <c r="D64" s="11" t="n"/>
      <c r="E64" s="12">
        <f>IFERROR(VLOOKUP(D64,PRODUTOS!$A:$J,2,FALSE),"")</f>
        <v/>
      </c>
      <c r="F64" s="11" t="n"/>
      <c r="G64" s="13" t="n"/>
      <c r="H64" s="11" t="inlineStr">
        <is>
          <t>DISPONÍVEL</t>
        </is>
      </c>
      <c r="I64" s="14" t="n"/>
      <c r="J64" s="15" t="n"/>
      <c r="K64" s="14">
        <f>IF(J64="","",J64-I64)</f>
        <v/>
      </c>
      <c r="L64" s="12">
        <f>IFERROR(VLOOKUP(D64,PRODUTOS!$A:$J,4,FALSE),"")</f>
        <v/>
      </c>
      <c r="M64" s="16" t="n"/>
      <c r="N64" s="11" t="n"/>
      <c r="O64" s="11" t="n"/>
      <c r="P64" s="13" t="n"/>
      <c r="Q64" s="11" t="n"/>
      <c r="R64" s="11" t="n"/>
      <c r="S64" s="11" t="n"/>
      <c r="T64" s="12">
        <f>IF(A64&lt;&gt;"SIM","NÃO MARCADA",IF(COUNTA(B64:H64,J64,M64:N64,P64:Q64)&lt;12,"PREENCHER OBRIGATÓRIOS",IF(OR(J64&lt;0,M64&lt;0),"VALOR INVÁLIDO","OK")))</f>
        <v/>
      </c>
    </row>
    <row r="65">
      <c r="A65" s="11" t="inlineStr">
        <is>
          <t>NÃO</t>
        </is>
      </c>
      <c r="B65" s="11" t="n"/>
      <c r="C65" s="11" t="n"/>
      <c r="D65" s="11" t="n"/>
      <c r="E65" s="12">
        <f>IFERROR(VLOOKUP(D65,PRODUTOS!$A:$J,2,FALSE),"")</f>
        <v/>
      </c>
      <c r="F65" s="11" t="n"/>
      <c r="G65" s="13" t="n"/>
      <c r="H65" s="11" t="inlineStr">
        <is>
          <t>DISPONÍVEL</t>
        </is>
      </c>
      <c r="I65" s="14" t="n"/>
      <c r="J65" s="15" t="n"/>
      <c r="K65" s="14">
        <f>IF(J65="","",J65-I65)</f>
        <v/>
      </c>
      <c r="L65" s="12">
        <f>IFERROR(VLOOKUP(D65,PRODUTOS!$A:$J,4,FALSE),"")</f>
        <v/>
      </c>
      <c r="M65" s="16" t="n"/>
      <c r="N65" s="11" t="n"/>
      <c r="O65" s="11" t="n"/>
      <c r="P65" s="13" t="n"/>
      <c r="Q65" s="11" t="n"/>
      <c r="R65" s="11" t="n"/>
      <c r="S65" s="11" t="n"/>
      <c r="T65" s="12">
        <f>IF(A65&lt;&gt;"SIM","NÃO MARCADA",IF(COUNTA(B65:H65,J65,M65:N65,P65:Q65)&lt;12,"PREENCHER OBRIGATÓRIOS",IF(OR(J65&lt;0,M65&lt;0),"VALOR INVÁLIDO","OK")))</f>
        <v/>
      </c>
    </row>
    <row r="66">
      <c r="A66" s="11" t="inlineStr">
        <is>
          <t>NÃO</t>
        </is>
      </c>
      <c r="B66" s="11" t="n"/>
      <c r="C66" s="11" t="n"/>
      <c r="D66" s="11" t="n"/>
      <c r="E66" s="12">
        <f>IFERROR(VLOOKUP(D66,PRODUTOS!$A:$J,2,FALSE),"")</f>
        <v/>
      </c>
      <c r="F66" s="11" t="n"/>
      <c r="G66" s="13" t="n"/>
      <c r="H66" s="11" t="inlineStr">
        <is>
          <t>DISPONÍVEL</t>
        </is>
      </c>
      <c r="I66" s="14" t="n"/>
      <c r="J66" s="15" t="n"/>
      <c r="K66" s="14">
        <f>IF(J66="","",J66-I66)</f>
        <v/>
      </c>
      <c r="L66" s="12">
        <f>IFERROR(VLOOKUP(D66,PRODUTOS!$A:$J,4,FALSE),"")</f>
        <v/>
      </c>
      <c r="M66" s="16" t="n"/>
      <c r="N66" s="11" t="n"/>
      <c r="O66" s="11" t="n"/>
      <c r="P66" s="13" t="n"/>
      <c r="Q66" s="11" t="n"/>
      <c r="R66" s="11" t="n"/>
      <c r="S66" s="11" t="n"/>
      <c r="T66" s="12">
        <f>IF(A66&lt;&gt;"SIM","NÃO MARCADA",IF(COUNTA(B66:H66,J66,M66:N66,P66:Q66)&lt;12,"PREENCHER OBRIGATÓRIOS",IF(OR(J66&lt;0,M66&lt;0),"VALOR INVÁLIDO","OK")))</f>
        <v/>
      </c>
    </row>
    <row r="67">
      <c r="A67" s="11" t="inlineStr">
        <is>
          <t>NÃO</t>
        </is>
      </c>
      <c r="B67" s="11" t="n"/>
      <c r="C67" s="11" t="n"/>
      <c r="D67" s="11" t="n"/>
      <c r="E67" s="12">
        <f>IFERROR(VLOOKUP(D67,PRODUTOS!$A:$J,2,FALSE),"")</f>
        <v/>
      </c>
      <c r="F67" s="11" t="n"/>
      <c r="G67" s="13" t="n"/>
      <c r="H67" s="11" t="inlineStr">
        <is>
          <t>DISPONÍVEL</t>
        </is>
      </c>
      <c r="I67" s="14" t="n"/>
      <c r="J67" s="15" t="n"/>
      <c r="K67" s="14">
        <f>IF(J67="","",J67-I67)</f>
        <v/>
      </c>
      <c r="L67" s="12">
        <f>IFERROR(VLOOKUP(D67,PRODUTOS!$A:$J,4,FALSE),"")</f>
        <v/>
      </c>
      <c r="M67" s="16" t="n"/>
      <c r="N67" s="11" t="n"/>
      <c r="O67" s="11" t="n"/>
      <c r="P67" s="13" t="n"/>
      <c r="Q67" s="11" t="n"/>
      <c r="R67" s="11" t="n"/>
      <c r="S67" s="11" t="n"/>
      <c r="T67" s="12">
        <f>IF(A67&lt;&gt;"SIM","NÃO MARCADA",IF(COUNTA(B67:H67,J67,M67:N67,P67:Q67)&lt;12,"PREENCHER OBRIGATÓRIOS",IF(OR(J67&lt;0,M67&lt;0),"VALOR INVÁLIDO","OK")))</f>
        <v/>
      </c>
    </row>
    <row r="68">
      <c r="A68" s="11" t="inlineStr">
        <is>
          <t>NÃO</t>
        </is>
      </c>
      <c r="B68" s="11" t="n"/>
      <c r="C68" s="11" t="n"/>
      <c r="D68" s="11" t="n"/>
      <c r="E68" s="12">
        <f>IFERROR(VLOOKUP(D68,PRODUTOS!$A:$J,2,FALSE),"")</f>
        <v/>
      </c>
      <c r="F68" s="11" t="n"/>
      <c r="G68" s="13" t="n"/>
      <c r="H68" s="11" t="inlineStr">
        <is>
          <t>DISPONÍVEL</t>
        </is>
      </c>
      <c r="I68" s="14" t="n"/>
      <c r="J68" s="15" t="n"/>
      <c r="K68" s="14">
        <f>IF(J68="","",J68-I68)</f>
        <v/>
      </c>
      <c r="L68" s="12">
        <f>IFERROR(VLOOKUP(D68,PRODUTOS!$A:$J,4,FALSE),"")</f>
        <v/>
      </c>
      <c r="M68" s="16" t="n"/>
      <c r="N68" s="11" t="n"/>
      <c r="O68" s="11" t="n"/>
      <c r="P68" s="13" t="n"/>
      <c r="Q68" s="11" t="n"/>
      <c r="R68" s="11" t="n"/>
      <c r="S68" s="11" t="n"/>
      <c r="T68" s="12">
        <f>IF(A68&lt;&gt;"SIM","NÃO MARCADA",IF(COUNTA(B68:H68,J68,M68:N68,P68:Q68)&lt;12,"PREENCHER OBRIGATÓRIOS",IF(OR(J68&lt;0,M68&lt;0),"VALOR INVÁLIDO","OK")))</f>
        <v/>
      </c>
    </row>
    <row r="69">
      <c r="A69" s="11" t="inlineStr">
        <is>
          <t>NÃO</t>
        </is>
      </c>
      <c r="B69" s="11" t="n"/>
      <c r="C69" s="11" t="n"/>
      <c r="D69" s="11" t="n"/>
      <c r="E69" s="12">
        <f>IFERROR(VLOOKUP(D69,PRODUTOS!$A:$J,2,FALSE),"")</f>
        <v/>
      </c>
      <c r="F69" s="11" t="n"/>
      <c r="G69" s="13" t="n"/>
      <c r="H69" s="11" t="inlineStr">
        <is>
          <t>DISPONÍVEL</t>
        </is>
      </c>
      <c r="I69" s="14" t="n"/>
      <c r="J69" s="15" t="n"/>
      <c r="K69" s="14">
        <f>IF(J69="","",J69-I69)</f>
        <v/>
      </c>
      <c r="L69" s="12">
        <f>IFERROR(VLOOKUP(D69,PRODUTOS!$A:$J,4,FALSE),"")</f>
        <v/>
      </c>
      <c r="M69" s="16" t="n"/>
      <c r="N69" s="11" t="n"/>
      <c r="O69" s="11" t="n"/>
      <c r="P69" s="13" t="n"/>
      <c r="Q69" s="11" t="n"/>
      <c r="R69" s="11" t="n"/>
      <c r="S69" s="11" t="n"/>
      <c r="T69" s="12">
        <f>IF(A69&lt;&gt;"SIM","NÃO MARCADA",IF(COUNTA(B69:H69,J69,M69:N69,P69:Q69)&lt;12,"PREENCHER OBRIGATÓRIOS",IF(OR(J69&lt;0,M69&lt;0),"VALOR INVÁLIDO","OK")))</f>
        <v/>
      </c>
    </row>
    <row r="70">
      <c r="A70" s="11" t="inlineStr">
        <is>
          <t>NÃO</t>
        </is>
      </c>
      <c r="B70" s="11" t="n"/>
      <c r="C70" s="11" t="n"/>
      <c r="D70" s="11" t="n"/>
      <c r="E70" s="12">
        <f>IFERROR(VLOOKUP(D70,PRODUTOS!$A:$J,2,FALSE),"")</f>
        <v/>
      </c>
      <c r="F70" s="11" t="n"/>
      <c r="G70" s="13" t="n"/>
      <c r="H70" s="11" t="inlineStr">
        <is>
          <t>DISPONÍVEL</t>
        </is>
      </c>
      <c r="I70" s="14" t="n"/>
      <c r="J70" s="15" t="n"/>
      <c r="K70" s="14">
        <f>IF(J70="","",J70-I70)</f>
        <v/>
      </c>
      <c r="L70" s="12">
        <f>IFERROR(VLOOKUP(D70,PRODUTOS!$A:$J,4,FALSE),"")</f>
        <v/>
      </c>
      <c r="M70" s="16" t="n"/>
      <c r="N70" s="11" t="n"/>
      <c r="O70" s="11" t="n"/>
      <c r="P70" s="13" t="n"/>
      <c r="Q70" s="11" t="n"/>
      <c r="R70" s="11" t="n"/>
      <c r="S70" s="11" t="n"/>
      <c r="T70" s="12">
        <f>IF(A70&lt;&gt;"SIM","NÃO MARCADA",IF(COUNTA(B70:H70,J70,M70:N70,P70:Q70)&lt;12,"PREENCHER OBRIGATÓRIOS",IF(OR(J70&lt;0,M70&lt;0),"VALOR INVÁLIDO","OK")))</f>
        <v/>
      </c>
    </row>
    <row r="71">
      <c r="A71" s="11" t="inlineStr">
        <is>
          <t>NÃO</t>
        </is>
      </c>
      <c r="B71" s="11" t="n"/>
      <c r="C71" s="11" t="n"/>
      <c r="D71" s="11" t="n"/>
      <c r="E71" s="12">
        <f>IFERROR(VLOOKUP(D71,PRODUTOS!$A:$J,2,FALSE),"")</f>
        <v/>
      </c>
      <c r="F71" s="11" t="n"/>
      <c r="G71" s="13" t="n"/>
      <c r="H71" s="11" t="inlineStr">
        <is>
          <t>DISPONÍVEL</t>
        </is>
      </c>
      <c r="I71" s="14" t="n"/>
      <c r="J71" s="15" t="n"/>
      <c r="K71" s="14">
        <f>IF(J71="","",J71-I71)</f>
        <v/>
      </c>
      <c r="L71" s="12">
        <f>IFERROR(VLOOKUP(D71,PRODUTOS!$A:$J,4,FALSE),"")</f>
        <v/>
      </c>
      <c r="M71" s="16" t="n"/>
      <c r="N71" s="11" t="n"/>
      <c r="O71" s="11" t="n"/>
      <c r="P71" s="13" t="n"/>
      <c r="Q71" s="11" t="n"/>
      <c r="R71" s="11" t="n"/>
      <c r="S71" s="11" t="n"/>
      <c r="T71" s="12">
        <f>IF(A71&lt;&gt;"SIM","NÃO MARCADA",IF(COUNTA(B71:H71,J71,M71:N71,P71:Q71)&lt;12,"PREENCHER OBRIGATÓRIOS",IF(OR(J71&lt;0,M71&lt;0),"VALOR INVÁLIDO","OK")))</f>
        <v/>
      </c>
    </row>
    <row r="72">
      <c r="A72" s="11" t="inlineStr">
        <is>
          <t>NÃO</t>
        </is>
      </c>
      <c r="B72" s="11" t="n"/>
      <c r="C72" s="11" t="n"/>
      <c r="D72" s="11" t="n"/>
      <c r="E72" s="12">
        <f>IFERROR(VLOOKUP(D72,PRODUTOS!$A:$J,2,FALSE),"")</f>
        <v/>
      </c>
      <c r="F72" s="11" t="n"/>
      <c r="G72" s="13" t="n"/>
      <c r="H72" s="11" t="inlineStr">
        <is>
          <t>DISPONÍVEL</t>
        </is>
      </c>
      <c r="I72" s="14" t="n"/>
      <c r="J72" s="15" t="n"/>
      <c r="K72" s="14">
        <f>IF(J72="","",J72-I72)</f>
        <v/>
      </c>
      <c r="L72" s="12">
        <f>IFERROR(VLOOKUP(D72,PRODUTOS!$A:$J,4,FALSE),"")</f>
        <v/>
      </c>
      <c r="M72" s="16" t="n"/>
      <c r="N72" s="11" t="n"/>
      <c r="O72" s="11" t="n"/>
      <c r="P72" s="13" t="n"/>
      <c r="Q72" s="11" t="n"/>
      <c r="R72" s="11" t="n"/>
      <c r="S72" s="11" t="n"/>
      <c r="T72" s="12">
        <f>IF(A72&lt;&gt;"SIM","NÃO MARCADA",IF(COUNTA(B72:H72,J72,M72:N72,P72:Q72)&lt;12,"PREENCHER OBRIGATÓRIOS",IF(OR(J72&lt;0,M72&lt;0),"VALOR INVÁLIDO","OK")))</f>
        <v/>
      </c>
    </row>
    <row r="73">
      <c r="A73" s="11" t="inlineStr">
        <is>
          <t>NÃO</t>
        </is>
      </c>
      <c r="B73" s="11" t="n"/>
      <c r="C73" s="11" t="n"/>
      <c r="D73" s="11" t="n"/>
      <c r="E73" s="12">
        <f>IFERROR(VLOOKUP(D73,PRODUTOS!$A:$J,2,FALSE),"")</f>
        <v/>
      </c>
      <c r="F73" s="11" t="n"/>
      <c r="G73" s="13" t="n"/>
      <c r="H73" s="11" t="inlineStr">
        <is>
          <t>DISPONÍVEL</t>
        </is>
      </c>
      <c r="I73" s="14" t="n"/>
      <c r="J73" s="15" t="n"/>
      <c r="K73" s="14">
        <f>IF(J73="","",J73-I73)</f>
        <v/>
      </c>
      <c r="L73" s="12">
        <f>IFERROR(VLOOKUP(D73,PRODUTOS!$A:$J,4,FALSE),"")</f>
        <v/>
      </c>
      <c r="M73" s="16" t="n"/>
      <c r="N73" s="11" t="n"/>
      <c r="O73" s="11" t="n"/>
      <c r="P73" s="13" t="n"/>
      <c r="Q73" s="11" t="n"/>
      <c r="R73" s="11" t="n"/>
      <c r="S73" s="11" t="n"/>
      <c r="T73" s="12">
        <f>IF(A73&lt;&gt;"SIM","NÃO MARCADA",IF(COUNTA(B73:H73,J73,M73:N73,P73:Q73)&lt;12,"PREENCHER OBRIGATÓRIOS",IF(OR(J73&lt;0,M73&lt;0),"VALOR INVÁLIDO","OK")))</f>
        <v/>
      </c>
    </row>
    <row r="74">
      <c r="A74" s="11" t="inlineStr">
        <is>
          <t>NÃO</t>
        </is>
      </c>
      <c r="B74" s="11" t="n"/>
      <c r="C74" s="11" t="n"/>
      <c r="D74" s="11" t="n"/>
      <c r="E74" s="12">
        <f>IFERROR(VLOOKUP(D74,PRODUTOS!$A:$J,2,FALSE),"")</f>
        <v/>
      </c>
      <c r="F74" s="11" t="n"/>
      <c r="G74" s="13" t="n"/>
      <c r="H74" s="11" t="inlineStr">
        <is>
          <t>DISPONÍVEL</t>
        </is>
      </c>
      <c r="I74" s="14" t="n"/>
      <c r="J74" s="15" t="n"/>
      <c r="K74" s="14">
        <f>IF(J74="","",J74-I74)</f>
        <v/>
      </c>
      <c r="L74" s="12">
        <f>IFERROR(VLOOKUP(D74,PRODUTOS!$A:$J,4,FALSE),"")</f>
        <v/>
      </c>
      <c r="M74" s="16" t="n"/>
      <c r="N74" s="11" t="n"/>
      <c r="O74" s="11" t="n"/>
      <c r="P74" s="13" t="n"/>
      <c r="Q74" s="11" t="n"/>
      <c r="R74" s="11" t="n"/>
      <c r="S74" s="11" t="n"/>
      <c r="T74" s="12">
        <f>IF(A74&lt;&gt;"SIM","NÃO MARCADA",IF(COUNTA(B74:H74,J74,M74:N74,P74:Q74)&lt;12,"PREENCHER OBRIGATÓRIOS",IF(OR(J74&lt;0,M74&lt;0),"VALOR INVÁLIDO","OK")))</f>
        <v/>
      </c>
    </row>
    <row r="75">
      <c r="A75" s="11" t="inlineStr">
        <is>
          <t>NÃO</t>
        </is>
      </c>
      <c r="B75" s="11" t="n"/>
      <c r="C75" s="11" t="n"/>
      <c r="D75" s="11" t="n"/>
      <c r="E75" s="12">
        <f>IFERROR(VLOOKUP(D75,PRODUTOS!$A:$J,2,FALSE),"")</f>
        <v/>
      </c>
      <c r="F75" s="11" t="n"/>
      <c r="G75" s="13" t="n"/>
      <c r="H75" s="11" t="inlineStr">
        <is>
          <t>DISPONÍVEL</t>
        </is>
      </c>
      <c r="I75" s="14" t="n"/>
      <c r="J75" s="15" t="n"/>
      <c r="K75" s="14">
        <f>IF(J75="","",J75-I75)</f>
        <v/>
      </c>
      <c r="L75" s="12">
        <f>IFERROR(VLOOKUP(D75,PRODUTOS!$A:$J,4,FALSE),"")</f>
        <v/>
      </c>
      <c r="M75" s="16" t="n"/>
      <c r="N75" s="11" t="n"/>
      <c r="O75" s="11" t="n"/>
      <c r="P75" s="13" t="n"/>
      <c r="Q75" s="11" t="n"/>
      <c r="R75" s="11" t="n"/>
      <c r="S75" s="11" t="n"/>
      <c r="T75" s="12">
        <f>IF(A75&lt;&gt;"SIM","NÃO MARCADA",IF(COUNTA(B75:H75,J75,M75:N75,P75:Q75)&lt;12,"PREENCHER OBRIGATÓRIOS",IF(OR(J75&lt;0,M75&lt;0),"VALOR INVÁLIDO","OK")))</f>
        <v/>
      </c>
    </row>
    <row r="76">
      <c r="A76" s="11" t="inlineStr">
        <is>
          <t>NÃO</t>
        </is>
      </c>
      <c r="B76" s="11" t="n"/>
      <c r="C76" s="11" t="n"/>
      <c r="D76" s="11" t="n"/>
      <c r="E76" s="12">
        <f>IFERROR(VLOOKUP(D76,PRODUTOS!$A:$J,2,FALSE),"")</f>
        <v/>
      </c>
      <c r="F76" s="11" t="n"/>
      <c r="G76" s="13" t="n"/>
      <c r="H76" s="11" t="inlineStr">
        <is>
          <t>DISPONÍVEL</t>
        </is>
      </c>
      <c r="I76" s="14" t="n"/>
      <c r="J76" s="15" t="n"/>
      <c r="K76" s="14">
        <f>IF(J76="","",J76-I76)</f>
        <v/>
      </c>
      <c r="L76" s="12">
        <f>IFERROR(VLOOKUP(D76,PRODUTOS!$A:$J,4,FALSE),"")</f>
        <v/>
      </c>
      <c r="M76" s="16" t="n"/>
      <c r="N76" s="11" t="n"/>
      <c r="O76" s="11" t="n"/>
      <c r="P76" s="13" t="n"/>
      <c r="Q76" s="11" t="n"/>
      <c r="R76" s="11" t="n"/>
      <c r="S76" s="11" t="n"/>
      <c r="T76" s="12">
        <f>IF(A76&lt;&gt;"SIM","NÃO MARCADA",IF(COUNTA(B76:H76,J76,M76:N76,P76:Q76)&lt;12,"PREENCHER OBRIGATÓRIOS",IF(OR(J76&lt;0,M76&lt;0),"VALOR INVÁLIDO","OK")))</f>
        <v/>
      </c>
    </row>
    <row r="77">
      <c r="A77" s="11" t="inlineStr">
        <is>
          <t>NÃO</t>
        </is>
      </c>
      <c r="B77" s="11" t="n"/>
      <c r="C77" s="11" t="n"/>
      <c r="D77" s="11" t="n"/>
      <c r="E77" s="12">
        <f>IFERROR(VLOOKUP(D77,PRODUTOS!$A:$J,2,FALSE),"")</f>
        <v/>
      </c>
      <c r="F77" s="11" t="n"/>
      <c r="G77" s="13" t="n"/>
      <c r="H77" s="11" t="inlineStr">
        <is>
          <t>DISPONÍVEL</t>
        </is>
      </c>
      <c r="I77" s="14" t="n"/>
      <c r="J77" s="15" t="n"/>
      <c r="K77" s="14">
        <f>IF(J77="","",J77-I77)</f>
        <v/>
      </c>
      <c r="L77" s="12">
        <f>IFERROR(VLOOKUP(D77,PRODUTOS!$A:$J,4,FALSE),"")</f>
        <v/>
      </c>
      <c r="M77" s="16" t="n"/>
      <c r="N77" s="11" t="n"/>
      <c r="O77" s="11" t="n"/>
      <c r="P77" s="13" t="n"/>
      <c r="Q77" s="11" t="n"/>
      <c r="R77" s="11" t="n"/>
      <c r="S77" s="11" t="n"/>
      <c r="T77" s="12">
        <f>IF(A77&lt;&gt;"SIM","NÃO MARCADA",IF(COUNTA(B77:H77,J77,M77:N77,P77:Q77)&lt;12,"PREENCHER OBRIGATÓRIOS",IF(OR(J77&lt;0,M77&lt;0),"VALOR INVÁLIDO","OK")))</f>
        <v/>
      </c>
    </row>
    <row r="78">
      <c r="A78" s="11" t="inlineStr">
        <is>
          <t>NÃO</t>
        </is>
      </c>
      <c r="B78" s="11" t="n"/>
      <c r="C78" s="11" t="n"/>
      <c r="D78" s="11" t="n"/>
      <c r="E78" s="12">
        <f>IFERROR(VLOOKUP(D78,PRODUTOS!$A:$J,2,FALSE),"")</f>
        <v/>
      </c>
      <c r="F78" s="11" t="n"/>
      <c r="G78" s="13" t="n"/>
      <c r="H78" s="11" t="inlineStr">
        <is>
          <t>DISPONÍVEL</t>
        </is>
      </c>
      <c r="I78" s="14" t="n"/>
      <c r="J78" s="15" t="n"/>
      <c r="K78" s="14">
        <f>IF(J78="","",J78-I78)</f>
        <v/>
      </c>
      <c r="L78" s="12">
        <f>IFERROR(VLOOKUP(D78,PRODUTOS!$A:$J,4,FALSE),"")</f>
        <v/>
      </c>
      <c r="M78" s="16" t="n"/>
      <c r="N78" s="11" t="n"/>
      <c r="O78" s="11" t="n"/>
      <c r="P78" s="13" t="n"/>
      <c r="Q78" s="11" t="n"/>
      <c r="R78" s="11" t="n"/>
      <c r="S78" s="11" t="n"/>
      <c r="T78" s="12">
        <f>IF(A78&lt;&gt;"SIM","NÃO MARCADA",IF(COUNTA(B78:H78,J78,M78:N78,P78:Q78)&lt;12,"PREENCHER OBRIGATÓRIOS",IF(OR(J78&lt;0,M78&lt;0),"VALOR INVÁLIDO","OK")))</f>
        <v/>
      </c>
    </row>
    <row r="79">
      <c r="A79" s="11" t="inlineStr">
        <is>
          <t>NÃO</t>
        </is>
      </c>
      <c r="B79" s="11" t="n"/>
      <c r="C79" s="11" t="n"/>
      <c r="D79" s="11" t="n"/>
      <c r="E79" s="12">
        <f>IFERROR(VLOOKUP(D79,PRODUTOS!$A:$J,2,FALSE),"")</f>
        <v/>
      </c>
      <c r="F79" s="11" t="n"/>
      <c r="G79" s="13" t="n"/>
      <c r="H79" s="11" t="inlineStr">
        <is>
          <t>DISPONÍVEL</t>
        </is>
      </c>
      <c r="I79" s="14" t="n"/>
      <c r="J79" s="15" t="n"/>
      <c r="K79" s="14">
        <f>IF(J79="","",J79-I79)</f>
        <v/>
      </c>
      <c r="L79" s="12">
        <f>IFERROR(VLOOKUP(D79,PRODUTOS!$A:$J,4,FALSE),"")</f>
        <v/>
      </c>
      <c r="M79" s="16" t="n"/>
      <c r="N79" s="11" t="n"/>
      <c r="O79" s="11" t="n"/>
      <c r="P79" s="13" t="n"/>
      <c r="Q79" s="11" t="n"/>
      <c r="R79" s="11" t="n"/>
      <c r="S79" s="11" t="n"/>
      <c r="T79" s="12">
        <f>IF(A79&lt;&gt;"SIM","NÃO MARCADA",IF(COUNTA(B79:H79,J79,M79:N79,P79:Q79)&lt;12,"PREENCHER OBRIGATÓRIOS",IF(OR(J79&lt;0,M79&lt;0),"VALOR INVÁLIDO","OK")))</f>
        <v/>
      </c>
    </row>
    <row r="80">
      <c r="A80" s="11" t="inlineStr">
        <is>
          <t>NÃO</t>
        </is>
      </c>
      <c r="B80" s="11" t="n"/>
      <c r="C80" s="11" t="n"/>
      <c r="D80" s="11" t="n"/>
      <c r="E80" s="12">
        <f>IFERROR(VLOOKUP(D80,PRODUTOS!$A:$J,2,FALSE),"")</f>
        <v/>
      </c>
      <c r="F80" s="11" t="n"/>
      <c r="G80" s="13" t="n"/>
      <c r="H80" s="11" t="inlineStr">
        <is>
          <t>DISPONÍVEL</t>
        </is>
      </c>
      <c r="I80" s="14" t="n"/>
      <c r="J80" s="15" t="n"/>
      <c r="K80" s="14">
        <f>IF(J80="","",J80-I80)</f>
        <v/>
      </c>
      <c r="L80" s="12">
        <f>IFERROR(VLOOKUP(D80,PRODUTOS!$A:$J,4,FALSE),"")</f>
        <v/>
      </c>
      <c r="M80" s="16" t="n"/>
      <c r="N80" s="11" t="n"/>
      <c r="O80" s="11" t="n"/>
      <c r="P80" s="13" t="n"/>
      <c r="Q80" s="11" t="n"/>
      <c r="R80" s="11" t="n"/>
      <c r="S80" s="11" t="n"/>
      <c r="T80" s="12">
        <f>IF(A80&lt;&gt;"SIM","NÃO MARCADA",IF(COUNTA(B80:H80,J80,M80:N80,P80:Q80)&lt;12,"PREENCHER OBRIGATÓRIOS",IF(OR(J80&lt;0,M80&lt;0),"VALOR INVÁLIDO","OK")))</f>
        <v/>
      </c>
    </row>
    <row r="81">
      <c r="A81" s="11" t="inlineStr">
        <is>
          <t>NÃO</t>
        </is>
      </c>
      <c r="B81" s="11" t="n"/>
      <c r="C81" s="11" t="n"/>
      <c r="D81" s="11" t="n"/>
      <c r="E81" s="12">
        <f>IFERROR(VLOOKUP(D81,PRODUTOS!$A:$J,2,FALSE),"")</f>
        <v/>
      </c>
      <c r="F81" s="11" t="n"/>
      <c r="G81" s="13" t="n"/>
      <c r="H81" s="11" t="inlineStr">
        <is>
          <t>DISPONÍVEL</t>
        </is>
      </c>
      <c r="I81" s="14" t="n"/>
      <c r="J81" s="15" t="n"/>
      <c r="K81" s="14">
        <f>IF(J81="","",J81-I81)</f>
        <v/>
      </c>
      <c r="L81" s="12">
        <f>IFERROR(VLOOKUP(D81,PRODUTOS!$A:$J,4,FALSE),"")</f>
        <v/>
      </c>
      <c r="M81" s="16" t="n"/>
      <c r="N81" s="11" t="n"/>
      <c r="O81" s="11" t="n"/>
      <c r="P81" s="13" t="n"/>
      <c r="Q81" s="11" t="n"/>
      <c r="R81" s="11" t="n"/>
      <c r="S81" s="11" t="n"/>
      <c r="T81" s="12">
        <f>IF(A81&lt;&gt;"SIM","NÃO MARCADA",IF(COUNTA(B81:H81,J81,M81:N81,P81:Q81)&lt;12,"PREENCHER OBRIGATÓRIOS",IF(OR(J81&lt;0,M81&lt;0),"VALOR INVÁLIDO","OK")))</f>
        <v/>
      </c>
    </row>
    <row r="82">
      <c r="A82" s="11" t="inlineStr">
        <is>
          <t>NÃO</t>
        </is>
      </c>
      <c r="B82" s="11" t="n"/>
      <c r="C82" s="11" t="n"/>
      <c r="D82" s="11" t="n"/>
      <c r="E82" s="12">
        <f>IFERROR(VLOOKUP(D82,PRODUTOS!$A:$J,2,FALSE),"")</f>
        <v/>
      </c>
      <c r="F82" s="11" t="n"/>
      <c r="G82" s="13" t="n"/>
      <c r="H82" s="11" t="inlineStr">
        <is>
          <t>DISPONÍVEL</t>
        </is>
      </c>
      <c r="I82" s="14" t="n"/>
      <c r="J82" s="15" t="n"/>
      <c r="K82" s="14">
        <f>IF(J82="","",J82-I82)</f>
        <v/>
      </c>
      <c r="L82" s="12">
        <f>IFERROR(VLOOKUP(D82,PRODUTOS!$A:$J,4,FALSE),"")</f>
        <v/>
      </c>
      <c r="M82" s="16" t="n"/>
      <c r="N82" s="11" t="n"/>
      <c r="O82" s="11" t="n"/>
      <c r="P82" s="13" t="n"/>
      <c r="Q82" s="11" t="n"/>
      <c r="R82" s="11" t="n"/>
      <c r="S82" s="11" t="n"/>
      <c r="T82" s="12">
        <f>IF(A82&lt;&gt;"SIM","NÃO MARCADA",IF(COUNTA(B82:H82,J82,M82:N82,P82:Q82)&lt;12,"PREENCHER OBRIGATÓRIOS",IF(OR(J82&lt;0,M82&lt;0),"VALOR INVÁLIDO","OK")))</f>
        <v/>
      </c>
    </row>
    <row r="83">
      <c r="A83" s="11" t="inlineStr">
        <is>
          <t>NÃO</t>
        </is>
      </c>
      <c r="B83" s="11" t="n"/>
      <c r="C83" s="11" t="n"/>
      <c r="D83" s="11" t="n"/>
      <c r="E83" s="12">
        <f>IFERROR(VLOOKUP(D83,PRODUTOS!$A:$J,2,FALSE),"")</f>
        <v/>
      </c>
      <c r="F83" s="11" t="n"/>
      <c r="G83" s="13" t="n"/>
      <c r="H83" s="11" t="inlineStr">
        <is>
          <t>DISPONÍVEL</t>
        </is>
      </c>
      <c r="I83" s="14" t="n"/>
      <c r="J83" s="15" t="n"/>
      <c r="K83" s="14">
        <f>IF(J83="","",J83-I83)</f>
        <v/>
      </c>
      <c r="L83" s="12">
        <f>IFERROR(VLOOKUP(D83,PRODUTOS!$A:$J,4,FALSE),"")</f>
        <v/>
      </c>
      <c r="M83" s="16" t="n"/>
      <c r="N83" s="11" t="n"/>
      <c r="O83" s="11" t="n"/>
      <c r="P83" s="13" t="n"/>
      <c r="Q83" s="11" t="n"/>
      <c r="R83" s="11" t="n"/>
      <c r="S83" s="11" t="n"/>
      <c r="T83" s="12">
        <f>IF(A83&lt;&gt;"SIM","NÃO MARCADA",IF(COUNTA(B83:H83,J83,M83:N83,P83:Q83)&lt;12,"PREENCHER OBRIGATÓRIOS",IF(OR(J83&lt;0,M83&lt;0),"VALOR INVÁLIDO","OK")))</f>
        <v/>
      </c>
    </row>
    <row r="84">
      <c r="A84" s="11" t="inlineStr">
        <is>
          <t>NÃO</t>
        </is>
      </c>
      <c r="B84" s="11" t="n"/>
      <c r="C84" s="11" t="n"/>
      <c r="D84" s="11" t="n"/>
      <c r="E84" s="12">
        <f>IFERROR(VLOOKUP(D84,PRODUTOS!$A:$J,2,FALSE),"")</f>
        <v/>
      </c>
      <c r="F84" s="11" t="n"/>
      <c r="G84" s="13" t="n"/>
      <c r="H84" s="11" t="inlineStr">
        <is>
          <t>DISPONÍVEL</t>
        </is>
      </c>
      <c r="I84" s="14" t="n"/>
      <c r="J84" s="15" t="n"/>
      <c r="K84" s="14">
        <f>IF(J84="","",J84-I84)</f>
        <v/>
      </c>
      <c r="L84" s="12">
        <f>IFERROR(VLOOKUP(D84,PRODUTOS!$A:$J,4,FALSE),"")</f>
        <v/>
      </c>
      <c r="M84" s="16" t="n"/>
      <c r="N84" s="11" t="n"/>
      <c r="O84" s="11" t="n"/>
      <c r="P84" s="13" t="n"/>
      <c r="Q84" s="11" t="n"/>
      <c r="R84" s="11" t="n"/>
      <c r="S84" s="11" t="n"/>
      <c r="T84" s="12">
        <f>IF(A84&lt;&gt;"SIM","NÃO MARCADA",IF(COUNTA(B84:H84,J84,M84:N84,P84:Q84)&lt;12,"PREENCHER OBRIGATÓRIOS",IF(OR(J84&lt;0,M84&lt;0),"VALOR INVÁLIDO","OK")))</f>
        <v/>
      </c>
    </row>
    <row r="85">
      <c r="A85" s="11" t="inlineStr">
        <is>
          <t>NÃO</t>
        </is>
      </c>
      <c r="B85" s="11" t="n"/>
      <c r="C85" s="11" t="n"/>
      <c r="D85" s="11" t="n"/>
      <c r="E85" s="12">
        <f>IFERROR(VLOOKUP(D85,PRODUTOS!$A:$J,2,FALSE),"")</f>
        <v/>
      </c>
      <c r="F85" s="11" t="n"/>
      <c r="G85" s="13" t="n"/>
      <c r="H85" s="11" t="inlineStr">
        <is>
          <t>DISPONÍVEL</t>
        </is>
      </c>
      <c r="I85" s="14" t="n"/>
      <c r="J85" s="15" t="n"/>
      <c r="K85" s="14">
        <f>IF(J85="","",J85-I85)</f>
        <v/>
      </c>
      <c r="L85" s="12">
        <f>IFERROR(VLOOKUP(D85,PRODUTOS!$A:$J,4,FALSE),"")</f>
        <v/>
      </c>
      <c r="M85" s="16" t="n"/>
      <c r="N85" s="11" t="n"/>
      <c r="O85" s="11" t="n"/>
      <c r="P85" s="13" t="n"/>
      <c r="Q85" s="11" t="n"/>
      <c r="R85" s="11" t="n"/>
      <c r="S85" s="11" t="n"/>
      <c r="T85" s="12">
        <f>IF(A85&lt;&gt;"SIM","NÃO MARCADA",IF(COUNTA(B85:H85,J85,M85:N85,P85:Q85)&lt;12,"PREENCHER OBRIGATÓRIOS",IF(OR(J85&lt;0,M85&lt;0),"VALOR INVÁLIDO","OK")))</f>
        <v/>
      </c>
    </row>
    <row r="86">
      <c r="A86" s="11" t="inlineStr">
        <is>
          <t>NÃO</t>
        </is>
      </c>
      <c r="B86" s="11" t="n"/>
      <c r="C86" s="11" t="n"/>
      <c r="D86" s="11" t="n"/>
      <c r="E86" s="12">
        <f>IFERROR(VLOOKUP(D86,PRODUTOS!$A:$J,2,FALSE),"")</f>
        <v/>
      </c>
      <c r="F86" s="11" t="n"/>
      <c r="G86" s="13" t="n"/>
      <c r="H86" s="11" t="inlineStr">
        <is>
          <t>DISPONÍVEL</t>
        </is>
      </c>
      <c r="I86" s="14" t="n"/>
      <c r="J86" s="15" t="n"/>
      <c r="K86" s="14">
        <f>IF(J86="","",J86-I86)</f>
        <v/>
      </c>
      <c r="L86" s="12">
        <f>IFERROR(VLOOKUP(D86,PRODUTOS!$A:$J,4,FALSE),"")</f>
        <v/>
      </c>
      <c r="M86" s="16" t="n"/>
      <c r="N86" s="11" t="n"/>
      <c r="O86" s="11" t="n"/>
      <c r="P86" s="13" t="n"/>
      <c r="Q86" s="11" t="n"/>
      <c r="R86" s="11" t="n"/>
      <c r="S86" s="11" t="n"/>
      <c r="T86" s="12">
        <f>IF(A86&lt;&gt;"SIM","NÃO MARCADA",IF(COUNTA(B86:H86,J86,M86:N86,P86:Q86)&lt;12,"PREENCHER OBRIGATÓRIOS",IF(OR(J86&lt;0,M86&lt;0),"VALOR INVÁLIDO","OK")))</f>
        <v/>
      </c>
    </row>
    <row r="87">
      <c r="A87" s="11" t="inlineStr">
        <is>
          <t>NÃO</t>
        </is>
      </c>
      <c r="B87" s="11" t="n"/>
      <c r="C87" s="11" t="n"/>
      <c r="D87" s="11" t="n"/>
      <c r="E87" s="12">
        <f>IFERROR(VLOOKUP(D87,PRODUTOS!$A:$J,2,FALSE),"")</f>
        <v/>
      </c>
      <c r="F87" s="11" t="n"/>
      <c r="G87" s="13" t="n"/>
      <c r="H87" s="11" t="inlineStr">
        <is>
          <t>DISPONÍVEL</t>
        </is>
      </c>
      <c r="I87" s="14" t="n"/>
      <c r="J87" s="15" t="n"/>
      <c r="K87" s="14">
        <f>IF(J87="","",J87-I87)</f>
        <v/>
      </c>
      <c r="L87" s="12">
        <f>IFERROR(VLOOKUP(D87,PRODUTOS!$A:$J,4,FALSE),"")</f>
        <v/>
      </c>
      <c r="M87" s="16" t="n"/>
      <c r="N87" s="11" t="n"/>
      <c r="O87" s="11" t="n"/>
      <c r="P87" s="13" t="n"/>
      <c r="Q87" s="11" t="n"/>
      <c r="R87" s="11" t="n"/>
      <c r="S87" s="11" t="n"/>
      <c r="T87" s="12">
        <f>IF(A87&lt;&gt;"SIM","NÃO MARCADA",IF(COUNTA(B87:H87,J87,M87:N87,P87:Q87)&lt;12,"PREENCHER OBRIGATÓRIOS",IF(OR(J87&lt;0,M87&lt;0),"VALOR INVÁLIDO","OK")))</f>
        <v/>
      </c>
    </row>
    <row r="88">
      <c r="A88" s="11" t="inlineStr">
        <is>
          <t>NÃO</t>
        </is>
      </c>
      <c r="B88" s="11" t="n"/>
      <c r="C88" s="11" t="n"/>
      <c r="D88" s="11" t="n"/>
      <c r="E88" s="12">
        <f>IFERROR(VLOOKUP(D88,PRODUTOS!$A:$J,2,FALSE),"")</f>
        <v/>
      </c>
      <c r="F88" s="11" t="n"/>
      <c r="G88" s="13" t="n"/>
      <c r="H88" s="11" t="inlineStr">
        <is>
          <t>DISPONÍVEL</t>
        </is>
      </c>
      <c r="I88" s="14" t="n"/>
      <c r="J88" s="15" t="n"/>
      <c r="K88" s="14">
        <f>IF(J88="","",J88-I88)</f>
        <v/>
      </c>
      <c r="L88" s="12">
        <f>IFERROR(VLOOKUP(D88,PRODUTOS!$A:$J,4,FALSE),"")</f>
        <v/>
      </c>
      <c r="M88" s="16" t="n"/>
      <c r="N88" s="11" t="n"/>
      <c r="O88" s="11" t="n"/>
      <c r="P88" s="13" t="n"/>
      <c r="Q88" s="11" t="n"/>
      <c r="R88" s="11" t="n"/>
      <c r="S88" s="11" t="n"/>
      <c r="T88" s="12">
        <f>IF(A88&lt;&gt;"SIM","NÃO MARCADA",IF(COUNTA(B88:H88,J88,M88:N88,P88:Q88)&lt;12,"PREENCHER OBRIGATÓRIOS",IF(OR(J88&lt;0,M88&lt;0),"VALOR INVÁLIDO","OK")))</f>
        <v/>
      </c>
    </row>
    <row r="89">
      <c r="A89" s="11" t="inlineStr">
        <is>
          <t>NÃO</t>
        </is>
      </c>
      <c r="B89" s="11" t="n"/>
      <c r="C89" s="11" t="n"/>
      <c r="D89" s="11" t="n"/>
      <c r="E89" s="12">
        <f>IFERROR(VLOOKUP(D89,PRODUTOS!$A:$J,2,FALSE),"")</f>
        <v/>
      </c>
      <c r="F89" s="11" t="n"/>
      <c r="G89" s="13" t="n"/>
      <c r="H89" s="11" t="inlineStr">
        <is>
          <t>DISPONÍVEL</t>
        </is>
      </c>
      <c r="I89" s="14" t="n"/>
      <c r="J89" s="15" t="n"/>
      <c r="K89" s="14">
        <f>IF(J89="","",J89-I89)</f>
        <v/>
      </c>
      <c r="L89" s="12">
        <f>IFERROR(VLOOKUP(D89,PRODUTOS!$A:$J,4,FALSE),"")</f>
        <v/>
      </c>
      <c r="M89" s="16" t="n"/>
      <c r="N89" s="11" t="n"/>
      <c r="O89" s="11" t="n"/>
      <c r="P89" s="13" t="n"/>
      <c r="Q89" s="11" t="n"/>
      <c r="R89" s="11" t="n"/>
      <c r="S89" s="11" t="n"/>
      <c r="T89" s="12">
        <f>IF(A89&lt;&gt;"SIM","NÃO MARCADA",IF(COUNTA(B89:H89,J89,M89:N89,P89:Q89)&lt;12,"PREENCHER OBRIGATÓRIOS",IF(OR(J89&lt;0,M89&lt;0),"VALOR INVÁLIDO","OK")))</f>
        <v/>
      </c>
    </row>
    <row r="90">
      <c r="A90" s="11" t="inlineStr">
        <is>
          <t>NÃO</t>
        </is>
      </c>
      <c r="B90" s="11" t="n"/>
      <c r="C90" s="11" t="n"/>
      <c r="D90" s="11" t="n"/>
      <c r="E90" s="12">
        <f>IFERROR(VLOOKUP(D90,PRODUTOS!$A:$J,2,FALSE),"")</f>
        <v/>
      </c>
      <c r="F90" s="11" t="n"/>
      <c r="G90" s="13" t="n"/>
      <c r="H90" s="11" t="inlineStr">
        <is>
          <t>DISPONÍVEL</t>
        </is>
      </c>
      <c r="I90" s="14" t="n"/>
      <c r="J90" s="15" t="n"/>
      <c r="K90" s="14">
        <f>IF(J90="","",J90-I90)</f>
        <v/>
      </c>
      <c r="L90" s="12">
        <f>IFERROR(VLOOKUP(D90,PRODUTOS!$A:$J,4,FALSE),"")</f>
        <v/>
      </c>
      <c r="M90" s="16" t="n"/>
      <c r="N90" s="11" t="n"/>
      <c r="O90" s="11" t="n"/>
      <c r="P90" s="13" t="n"/>
      <c r="Q90" s="11" t="n"/>
      <c r="R90" s="11" t="n"/>
      <c r="S90" s="11" t="n"/>
      <c r="T90" s="12">
        <f>IF(A90&lt;&gt;"SIM","NÃO MARCADA",IF(COUNTA(B90:H90,J90,M90:N90,P90:Q90)&lt;12,"PREENCHER OBRIGATÓRIOS",IF(OR(J90&lt;0,M90&lt;0),"VALOR INVÁLIDO","OK")))</f>
        <v/>
      </c>
    </row>
    <row r="91">
      <c r="A91" s="11" t="inlineStr">
        <is>
          <t>NÃO</t>
        </is>
      </c>
      <c r="B91" s="11" t="n"/>
      <c r="C91" s="11" t="n"/>
      <c r="D91" s="11" t="n"/>
      <c r="E91" s="12">
        <f>IFERROR(VLOOKUP(D91,PRODUTOS!$A:$J,2,FALSE),"")</f>
        <v/>
      </c>
      <c r="F91" s="11" t="n"/>
      <c r="G91" s="13" t="n"/>
      <c r="H91" s="11" t="inlineStr">
        <is>
          <t>DISPONÍVEL</t>
        </is>
      </c>
      <c r="I91" s="14" t="n"/>
      <c r="J91" s="15" t="n"/>
      <c r="K91" s="14">
        <f>IF(J91="","",J91-I91)</f>
        <v/>
      </c>
      <c r="L91" s="12">
        <f>IFERROR(VLOOKUP(D91,PRODUTOS!$A:$J,4,FALSE),"")</f>
        <v/>
      </c>
      <c r="M91" s="16" t="n"/>
      <c r="N91" s="11" t="n"/>
      <c r="O91" s="11" t="n"/>
      <c r="P91" s="13" t="n"/>
      <c r="Q91" s="11" t="n"/>
      <c r="R91" s="11" t="n"/>
      <c r="S91" s="11" t="n"/>
      <c r="T91" s="12">
        <f>IF(A91&lt;&gt;"SIM","NÃO MARCADA",IF(COUNTA(B91:H91,J91,M91:N91,P91:Q91)&lt;12,"PREENCHER OBRIGATÓRIOS",IF(OR(J91&lt;0,M91&lt;0),"VALOR INVÁLIDO","OK")))</f>
        <v/>
      </c>
    </row>
    <row r="92">
      <c r="A92" s="11" t="inlineStr">
        <is>
          <t>NÃO</t>
        </is>
      </c>
      <c r="B92" s="11" t="n"/>
      <c r="C92" s="11" t="n"/>
      <c r="D92" s="11" t="n"/>
      <c r="E92" s="12">
        <f>IFERROR(VLOOKUP(D92,PRODUTOS!$A:$J,2,FALSE),"")</f>
        <v/>
      </c>
      <c r="F92" s="11" t="n"/>
      <c r="G92" s="13" t="n"/>
      <c r="H92" s="11" t="inlineStr">
        <is>
          <t>DISPONÍVEL</t>
        </is>
      </c>
      <c r="I92" s="14" t="n"/>
      <c r="J92" s="15" t="n"/>
      <c r="K92" s="14">
        <f>IF(J92="","",J92-I92)</f>
        <v/>
      </c>
      <c r="L92" s="12">
        <f>IFERROR(VLOOKUP(D92,PRODUTOS!$A:$J,4,FALSE),"")</f>
        <v/>
      </c>
      <c r="M92" s="16" t="n"/>
      <c r="N92" s="11" t="n"/>
      <c r="O92" s="11" t="n"/>
      <c r="P92" s="13" t="n"/>
      <c r="Q92" s="11" t="n"/>
      <c r="R92" s="11" t="n"/>
      <c r="S92" s="11" t="n"/>
      <c r="T92" s="12">
        <f>IF(A92&lt;&gt;"SIM","NÃO MARCADA",IF(COUNTA(B92:H92,J92,M92:N92,P92:Q92)&lt;12,"PREENCHER OBRIGATÓRIOS",IF(OR(J92&lt;0,M92&lt;0),"VALOR INVÁLIDO","OK")))</f>
        <v/>
      </c>
    </row>
    <row r="93">
      <c r="A93" s="11" t="inlineStr">
        <is>
          <t>NÃO</t>
        </is>
      </c>
      <c r="B93" s="11" t="n"/>
      <c r="C93" s="11" t="n"/>
      <c r="D93" s="11" t="n"/>
      <c r="E93" s="12">
        <f>IFERROR(VLOOKUP(D93,PRODUTOS!$A:$J,2,FALSE),"")</f>
        <v/>
      </c>
      <c r="F93" s="11" t="n"/>
      <c r="G93" s="13" t="n"/>
      <c r="H93" s="11" t="inlineStr">
        <is>
          <t>DISPONÍVEL</t>
        </is>
      </c>
      <c r="I93" s="14" t="n"/>
      <c r="J93" s="15" t="n"/>
      <c r="K93" s="14">
        <f>IF(J93="","",J93-I93)</f>
        <v/>
      </c>
      <c r="L93" s="12">
        <f>IFERROR(VLOOKUP(D93,PRODUTOS!$A:$J,4,FALSE),"")</f>
        <v/>
      </c>
      <c r="M93" s="16" t="n"/>
      <c r="N93" s="11" t="n"/>
      <c r="O93" s="11" t="n"/>
      <c r="P93" s="13" t="n"/>
      <c r="Q93" s="11" t="n"/>
      <c r="R93" s="11" t="n"/>
      <c r="S93" s="11" t="n"/>
      <c r="T93" s="12">
        <f>IF(A93&lt;&gt;"SIM","NÃO MARCADA",IF(COUNTA(B93:H93,J93,M93:N93,P93:Q93)&lt;12,"PREENCHER OBRIGATÓRIOS",IF(OR(J93&lt;0,M93&lt;0),"VALOR INVÁLIDO","OK")))</f>
        <v/>
      </c>
    </row>
    <row r="94">
      <c r="A94" s="11" t="inlineStr">
        <is>
          <t>NÃO</t>
        </is>
      </c>
      <c r="B94" s="11" t="n"/>
      <c r="C94" s="11" t="n"/>
      <c r="D94" s="11" t="n"/>
      <c r="E94" s="12">
        <f>IFERROR(VLOOKUP(D94,PRODUTOS!$A:$J,2,FALSE),"")</f>
        <v/>
      </c>
      <c r="F94" s="11" t="n"/>
      <c r="G94" s="13" t="n"/>
      <c r="H94" s="11" t="inlineStr">
        <is>
          <t>DISPONÍVEL</t>
        </is>
      </c>
      <c r="I94" s="14" t="n"/>
      <c r="J94" s="15" t="n"/>
      <c r="K94" s="14">
        <f>IF(J94="","",J94-I94)</f>
        <v/>
      </c>
      <c r="L94" s="12">
        <f>IFERROR(VLOOKUP(D94,PRODUTOS!$A:$J,4,FALSE),"")</f>
        <v/>
      </c>
      <c r="M94" s="16" t="n"/>
      <c r="N94" s="11" t="n"/>
      <c r="O94" s="11" t="n"/>
      <c r="P94" s="13" t="n"/>
      <c r="Q94" s="11" t="n"/>
      <c r="R94" s="11" t="n"/>
      <c r="S94" s="11" t="n"/>
      <c r="T94" s="12">
        <f>IF(A94&lt;&gt;"SIM","NÃO MARCADA",IF(COUNTA(B94:H94,J94,M94:N94,P94:Q94)&lt;12,"PREENCHER OBRIGATÓRIOS",IF(OR(J94&lt;0,M94&lt;0),"VALOR INVÁLIDO","OK")))</f>
        <v/>
      </c>
    </row>
    <row r="95">
      <c r="A95" s="11" t="inlineStr">
        <is>
          <t>NÃO</t>
        </is>
      </c>
      <c r="B95" s="11" t="n"/>
      <c r="C95" s="11" t="n"/>
      <c r="D95" s="11" t="n"/>
      <c r="E95" s="12">
        <f>IFERROR(VLOOKUP(D95,PRODUTOS!$A:$J,2,FALSE),"")</f>
        <v/>
      </c>
      <c r="F95" s="11" t="n"/>
      <c r="G95" s="13" t="n"/>
      <c r="H95" s="11" t="inlineStr">
        <is>
          <t>DISPONÍVEL</t>
        </is>
      </c>
      <c r="I95" s="14" t="n"/>
      <c r="J95" s="15" t="n"/>
      <c r="K95" s="14">
        <f>IF(J95="","",J95-I95)</f>
        <v/>
      </c>
      <c r="L95" s="12">
        <f>IFERROR(VLOOKUP(D95,PRODUTOS!$A:$J,4,FALSE),"")</f>
        <v/>
      </c>
      <c r="M95" s="16" t="n"/>
      <c r="N95" s="11" t="n"/>
      <c r="O95" s="11" t="n"/>
      <c r="P95" s="13" t="n"/>
      <c r="Q95" s="11" t="n"/>
      <c r="R95" s="11" t="n"/>
      <c r="S95" s="11" t="n"/>
      <c r="T95" s="12">
        <f>IF(A95&lt;&gt;"SIM","NÃO MARCADA",IF(COUNTA(B95:H95,J95,M95:N95,P95:Q95)&lt;12,"PREENCHER OBRIGATÓRIOS",IF(OR(J95&lt;0,M95&lt;0),"VALOR INVÁLIDO","OK")))</f>
        <v/>
      </c>
    </row>
    <row r="96">
      <c r="A96" s="11" t="inlineStr">
        <is>
          <t>NÃO</t>
        </is>
      </c>
      <c r="B96" s="11" t="n"/>
      <c r="C96" s="11" t="n"/>
      <c r="D96" s="11" t="n"/>
      <c r="E96" s="12">
        <f>IFERROR(VLOOKUP(D96,PRODUTOS!$A:$J,2,FALSE),"")</f>
        <v/>
      </c>
      <c r="F96" s="11" t="n"/>
      <c r="G96" s="13" t="n"/>
      <c r="H96" s="11" t="inlineStr">
        <is>
          <t>DISPONÍVEL</t>
        </is>
      </c>
      <c r="I96" s="14" t="n"/>
      <c r="J96" s="15" t="n"/>
      <c r="K96" s="14">
        <f>IF(J96="","",J96-I96)</f>
        <v/>
      </c>
      <c r="L96" s="12">
        <f>IFERROR(VLOOKUP(D96,PRODUTOS!$A:$J,4,FALSE),"")</f>
        <v/>
      </c>
      <c r="M96" s="16" t="n"/>
      <c r="N96" s="11" t="n"/>
      <c r="O96" s="11" t="n"/>
      <c r="P96" s="13" t="n"/>
      <c r="Q96" s="11" t="n"/>
      <c r="R96" s="11" t="n"/>
      <c r="S96" s="11" t="n"/>
      <c r="T96" s="12">
        <f>IF(A96&lt;&gt;"SIM","NÃO MARCADA",IF(COUNTA(B96:H96,J96,M96:N96,P96:Q96)&lt;12,"PREENCHER OBRIGATÓRIOS",IF(OR(J96&lt;0,M96&lt;0),"VALOR INVÁLIDO","OK")))</f>
        <v/>
      </c>
    </row>
    <row r="97">
      <c r="A97" s="11" t="inlineStr">
        <is>
          <t>NÃO</t>
        </is>
      </c>
      <c r="B97" s="11" t="n"/>
      <c r="C97" s="11" t="n"/>
      <c r="D97" s="11" t="n"/>
      <c r="E97" s="12">
        <f>IFERROR(VLOOKUP(D97,PRODUTOS!$A:$J,2,FALSE),"")</f>
        <v/>
      </c>
      <c r="F97" s="11" t="n"/>
      <c r="G97" s="13" t="n"/>
      <c r="H97" s="11" t="inlineStr">
        <is>
          <t>DISPONÍVEL</t>
        </is>
      </c>
      <c r="I97" s="14" t="n"/>
      <c r="J97" s="15" t="n"/>
      <c r="K97" s="14">
        <f>IF(J97="","",J97-I97)</f>
        <v/>
      </c>
      <c r="L97" s="12">
        <f>IFERROR(VLOOKUP(D97,PRODUTOS!$A:$J,4,FALSE),"")</f>
        <v/>
      </c>
      <c r="M97" s="16" t="n"/>
      <c r="N97" s="11" t="n"/>
      <c r="O97" s="11" t="n"/>
      <c r="P97" s="13" t="n"/>
      <c r="Q97" s="11" t="n"/>
      <c r="R97" s="11" t="n"/>
      <c r="S97" s="11" t="n"/>
      <c r="T97" s="12">
        <f>IF(A97&lt;&gt;"SIM","NÃO MARCADA",IF(COUNTA(B97:H97,J97,M97:N97,P97:Q97)&lt;12,"PREENCHER OBRIGATÓRIOS",IF(OR(J97&lt;0,M97&lt;0),"VALOR INVÁLIDO","OK")))</f>
        <v/>
      </c>
    </row>
    <row r="98">
      <c r="A98" s="11" t="inlineStr">
        <is>
          <t>NÃO</t>
        </is>
      </c>
      <c r="B98" s="11" t="n"/>
      <c r="C98" s="11" t="n"/>
      <c r="D98" s="11" t="n"/>
      <c r="E98" s="12">
        <f>IFERROR(VLOOKUP(D98,PRODUTOS!$A:$J,2,FALSE),"")</f>
        <v/>
      </c>
      <c r="F98" s="11" t="n"/>
      <c r="G98" s="13" t="n"/>
      <c r="H98" s="11" t="inlineStr">
        <is>
          <t>DISPONÍVEL</t>
        </is>
      </c>
      <c r="I98" s="14" t="n"/>
      <c r="J98" s="15" t="n"/>
      <c r="K98" s="14">
        <f>IF(J98="","",J98-I98)</f>
        <v/>
      </c>
      <c r="L98" s="12">
        <f>IFERROR(VLOOKUP(D98,PRODUTOS!$A:$J,4,FALSE),"")</f>
        <v/>
      </c>
      <c r="M98" s="16" t="n"/>
      <c r="N98" s="11" t="n"/>
      <c r="O98" s="11" t="n"/>
      <c r="P98" s="13" t="n"/>
      <c r="Q98" s="11" t="n"/>
      <c r="R98" s="11" t="n"/>
      <c r="S98" s="11" t="n"/>
      <c r="T98" s="12">
        <f>IF(A98&lt;&gt;"SIM","NÃO MARCADA",IF(COUNTA(B98:H98,J98,M98:N98,P98:Q98)&lt;12,"PREENCHER OBRIGATÓRIOS",IF(OR(J98&lt;0,M98&lt;0),"VALOR INVÁLIDO","OK")))</f>
        <v/>
      </c>
    </row>
    <row r="99">
      <c r="A99" s="11" t="inlineStr">
        <is>
          <t>NÃO</t>
        </is>
      </c>
      <c r="B99" s="11" t="n"/>
      <c r="C99" s="11" t="n"/>
      <c r="D99" s="11" t="n"/>
      <c r="E99" s="12">
        <f>IFERROR(VLOOKUP(D99,PRODUTOS!$A:$J,2,FALSE),"")</f>
        <v/>
      </c>
      <c r="F99" s="11" t="n"/>
      <c r="G99" s="13" t="n"/>
      <c r="H99" s="11" t="inlineStr">
        <is>
          <t>DISPONÍVEL</t>
        </is>
      </c>
      <c r="I99" s="14" t="n"/>
      <c r="J99" s="15" t="n"/>
      <c r="K99" s="14">
        <f>IF(J99="","",J99-I99)</f>
        <v/>
      </c>
      <c r="L99" s="12">
        <f>IFERROR(VLOOKUP(D99,PRODUTOS!$A:$J,4,FALSE),"")</f>
        <v/>
      </c>
      <c r="M99" s="16" t="n"/>
      <c r="N99" s="11" t="n"/>
      <c r="O99" s="11" t="n"/>
      <c r="P99" s="13" t="n"/>
      <c r="Q99" s="11" t="n"/>
      <c r="R99" s="11" t="n"/>
      <c r="S99" s="11" t="n"/>
      <c r="T99" s="12">
        <f>IF(A99&lt;&gt;"SIM","NÃO MARCADA",IF(COUNTA(B99:H99,J99,M99:N99,P99:Q99)&lt;12,"PREENCHER OBRIGATÓRIOS",IF(OR(J99&lt;0,M99&lt;0),"VALOR INVÁLIDO","OK")))</f>
        <v/>
      </c>
    </row>
    <row r="100">
      <c r="A100" s="11" t="inlineStr">
        <is>
          <t>NÃO</t>
        </is>
      </c>
      <c r="B100" s="11" t="n"/>
      <c r="C100" s="11" t="n"/>
      <c r="D100" s="11" t="n"/>
      <c r="E100" s="12">
        <f>IFERROR(VLOOKUP(D100,PRODUTOS!$A:$J,2,FALSE),"")</f>
        <v/>
      </c>
      <c r="F100" s="11" t="n"/>
      <c r="G100" s="13" t="n"/>
      <c r="H100" s="11" t="inlineStr">
        <is>
          <t>DISPONÍVEL</t>
        </is>
      </c>
      <c r="I100" s="14" t="n"/>
      <c r="J100" s="15" t="n"/>
      <c r="K100" s="14">
        <f>IF(J100="","",J100-I100)</f>
        <v/>
      </c>
      <c r="L100" s="12">
        <f>IFERROR(VLOOKUP(D100,PRODUTOS!$A:$J,4,FALSE),"")</f>
        <v/>
      </c>
      <c r="M100" s="16" t="n"/>
      <c r="N100" s="11" t="n"/>
      <c r="O100" s="11" t="n"/>
      <c r="P100" s="13" t="n"/>
      <c r="Q100" s="11" t="n"/>
      <c r="R100" s="11" t="n"/>
      <c r="S100" s="11" t="n"/>
      <c r="T100" s="12">
        <f>IF(A100&lt;&gt;"SIM","NÃO MARCADA",IF(COUNTA(B100:H100,J100,M100:N100,P100:Q100)&lt;12,"PREENCHER OBRIGATÓRIOS",IF(OR(J100&lt;0,M100&lt;0),"VALOR INVÁLIDO","OK")))</f>
        <v/>
      </c>
    </row>
    <row r="101">
      <c r="A101" s="11" t="inlineStr">
        <is>
          <t>NÃO</t>
        </is>
      </c>
      <c r="B101" s="11" t="n"/>
      <c r="C101" s="11" t="n"/>
      <c r="D101" s="11" t="n"/>
      <c r="E101" s="12">
        <f>IFERROR(VLOOKUP(D101,PRODUTOS!$A:$J,2,FALSE),"")</f>
        <v/>
      </c>
      <c r="F101" s="11" t="n"/>
      <c r="G101" s="13" t="n"/>
      <c r="H101" s="11" t="inlineStr">
        <is>
          <t>DISPONÍVEL</t>
        </is>
      </c>
      <c r="I101" s="14" t="n"/>
      <c r="J101" s="15" t="n"/>
      <c r="K101" s="14">
        <f>IF(J101="","",J101-I101)</f>
        <v/>
      </c>
      <c r="L101" s="12">
        <f>IFERROR(VLOOKUP(D101,PRODUTOS!$A:$J,4,FALSE),"")</f>
        <v/>
      </c>
      <c r="M101" s="16" t="n"/>
      <c r="N101" s="11" t="n"/>
      <c r="O101" s="11" t="n"/>
      <c r="P101" s="13" t="n"/>
      <c r="Q101" s="11" t="n"/>
      <c r="R101" s="11" t="n"/>
      <c r="S101" s="11" t="n"/>
      <c r="T101" s="12">
        <f>IF(A101&lt;&gt;"SIM","NÃO MARCADA",IF(COUNTA(B101:H101,J101,M101:N101,P101:Q101)&lt;12,"PREENCHER OBRIGATÓRIOS",IF(OR(J101&lt;0,M101&lt;0),"VALOR INVÁLIDO","OK")))</f>
        <v/>
      </c>
    </row>
    <row r="102">
      <c r="A102" s="11" t="inlineStr">
        <is>
          <t>NÃO</t>
        </is>
      </c>
      <c r="B102" s="11" t="n"/>
      <c r="C102" s="11" t="n"/>
      <c r="D102" s="11" t="n"/>
      <c r="E102" s="12">
        <f>IFERROR(VLOOKUP(D102,PRODUTOS!$A:$J,2,FALSE),"")</f>
        <v/>
      </c>
      <c r="F102" s="11" t="n"/>
      <c r="G102" s="13" t="n"/>
      <c r="H102" s="11" t="inlineStr">
        <is>
          <t>DISPONÍVEL</t>
        </is>
      </c>
      <c r="I102" s="14" t="n"/>
      <c r="J102" s="15" t="n"/>
      <c r="K102" s="14">
        <f>IF(J102="","",J102-I102)</f>
        <v/>
      </c>
      <c r="L102" s="12">
        <f>IFERROR(VLOOKUP(D102,PRODUTOS!$A:$J,4,FALSE),"")</f>
        <v/>
      </c>
      <c r="M102" s="16" t="n"/>
      <c r="N102" s="11" t="n"/>
      <c r="O102" s="11" t="n"/>
      <c r="P102" s="13" t="n"/>
      <c r="Q102" s="11" t="n"/>
      <c r="R102" s="11" t="n"/>
      <c r="S102" s="11" t="n"/>
      <c r="T102" s="12">
        <f>IF(A102&lt;&gt;"SIM","NÃO MARCADA",IF(COUNTA(B102:H102,J102,M102:N102,P102:Q102)&lt;12,"PREENCHER OBRIGATÓRIOS",IF(OR(J102&lt;0,M102&lt;0),"VALOR INVÁLIDO","OK")))</f>
        <v/>
      </c>
    </row>
    <row r="103">
      <c r="A103" s="11" t="inlineStr">
        <is>
          <t>NÃO</t>
        </is>
      </c>
      <c r="B103" s="11" t="n"/>
      <c r="C103" s="11" t="n"/>
      <c r="D103" s="11" t="n"/>
      <c r="E103" s="12">
        <f>IFERROR(VLOOKUP(D103,PRODUTOS!$A:$J,2,FALSE),"")</f>
        <v/>
      </c>
      <c r="F103" s="11" t="n"/>
      <c r="G103" s="13" t="n"/>
      <c r="H103" s="11" t="inlineStr">
        <is>
          <t>DISPONÍVEL</t>
        </is>
      </c>
      <c r="I103" s="14" t="n"/>
      <c r="J103" s="15" t="n"/>
      <c r="K103" s="14">
        <f>IF(J103="","",J103-I103)</f>
        <v/>
      </c>
      <c r="L103" s="12">
        <f>IFERROR(VLOOKUP(D103,PRODUTOS!$A:$J,4,FALSE),"")</f>
        <v/>
      </c>
      <c r="M103" s="16" t="n"/>
      <c r="N103" s="11" t="n"/>
      <c r="O103" s="11" t="n"/>
      <c r="P103" s="13" t="n"/>
      <c r="Q103" s="11" t="n"/>
      <c r="R103" s="11" t="n"/>
      <c r="S103" s="11" t="n"/>
      <c r="T103" s="12">
        <f>IF(A103&lt;&gt;"SIM","NÃO MARCADA",IF(COUNTA(B103:H103,J103,M103:N103,P103:Q103)&lt;12,"PREENCHER OBRIGATÓRIOS",IF(OR(J103&lt;0,M103&lt;0),"VALOR INVÁLIDO","OK")))</f>
        <v/>
      </c>
    </row>
    <row r="104">
      <c r="A104" s="11" t="inlineStr">
        <is>
          <t>NÃO</t>
        </is>
      </c>
      <c r="B104" s="11" t="n"/>
      <c r="C104" s="11" t="n"/>
      <c r="D104" s="11" t="n"/>
      <c r="E104" s="12">
        <f>IFERROR(VLOOKUP(D104,PRODUTOS!$A:$J,2,FALSE),"")</f>
        <v/>
      </c>
      <c r="F104" s="11" t="n"/>
      <c r="G104" s="13" t="n"/>
      <c r="H104" s="11" t="inlineStr">
        <is>
          <t>DISPONÍVEL</t>
        </is>
      </c>
      <c r="I104" s="14" t="n"/>
      <c r="J104" s="15" t="n"/>
      <c r="K104" s="14">
        <f>IF(J104="","",J104-I104)</f>
        <v/>
      </c>
      <c r="L104" s="12">
        <f>IFERROR(VLOOKUP(D104,PRODUTOS!$A:$J,4,FALSE),"")</f>
        <v/>
      </c>
      <c r="M104" s="16" t="n"/>
      <c r="N104" s="11" t="n"/>
      <c r="O104" s="11" t="n"/>
      <c r="P104" s="13" t="n"/>
      <c r="Q104" s="11" t="n"/>
      <c r="R104" s="11" t="n"/>
      <c r="S104" s="11" t="n"/>
      <c r="T104" s="12">
        <f>IF(A104&lt;&gt;"SIM","NÃO MARCADA",IF(COUNTA(B104:H104,J104,M104:N104,P104:Q104)&lt;12,"PREENCHER OBRIGATÓRIOS",IF(OR(J104&lt;0,M104&lt;0),"VALOR INVÁLIDO","OK")))</f>
        <v/>
      </c>
    </row>
    <row r="105">
      <c r="A105" s="11" t="inlineStr">
        <is>
          <t>NÃO</t>
        </is>
      </c>
      <c r="B105" s="11" t="n"/>
      <c r="C105" s="11" t="n"/>
      <c r="D105" s="11" t="n"/>
      <c r="E105" s="12">
        <f>IFERROR(VLOOKUP(D105,PRODUTOS!$A:$J,2,FALSE),"")</f>
        <v/>
      </c>
      <c r="F105" s="11" t="n"/>
      <c r="G105" s="13" t="n"/>
      <c r="H105" s="11" t="inlineStr">
        <is>
          <t>DISPONÍVEL</t>
        </is>
      </c>
      <c r="I105" s="14" t="n"/>
      <c r="J105" s="15" t="n"/>
      <c r="K105" s="14">
        <f>IF(J105="","",J105-I105)</f>
        <v/>
      </c>
      <c r="L105" s="12">
        <f>IFERROR(VLOOKUP(D105,PRODUTOS!$A:$J,4,FALSE),"")</f>
        <v/>
      </c>
      <c r="M105" s="16" t="n"/>
      <c r="N105" s="11" t="n"/>
      <c r="O105" s="11" t="n"/>
      <c r="P105" s="13" t="n"/>
      <c r="Q105" s="11" t="n"/>
      <c r="R105" s="11" t="n"/>
      <c r="S105" s="11" t="n"/>
      <c r="T105" s="12">
        <f>IF(A105&lt;&gt;"SIM","NÃO MARCADA",IF(COUNTA(B105:H105,J105,M105:N105,P105:Q105)&lt;12,"PREENCHER OBRIGATÓRIOS",IF(OR(J105&lt;0,M105&lt;0),"VALOR INVÁLIDO","OK")))</f>
        <v/>
      </c>
    </row>
    <row r="106">
      <c r="A106" s="11" t="inlineStr">
        <is>
          <t>NÃO</t>
        </is>
      </c>
      <c r="B106" s="11" t="n"/>
      <c r="C106" s="11" t="n"/>
      <c r="D106" s="11" t="n"/>
      <c r="E106" s="12">
        <f>IFERROR(VLOOKUP(D106,PRODUTOS!$A:$J,2,FALSE),"")</f>
        <v/>
      </c>
      <c r="F106" s="11" t="n"/>
      <c r="G106" s="13" t="n"/>
      <c r="H106" s="11" t="inlineStr">
        <is>
          <t>DISPONÍVEL</t>
        </is>
      </c>
      <c r="I106" s="14" t="n"/>
      <c r="J106" s="15" t="n"/>
      <c r="K106" s="14">
        <f>IF(J106="","",J106-I106)</f>
        <v/>
      </c>
      <c r="L106" s="12">
        <f>IFERROR(VLOOKUP(D106,PRODUTOS!$A:$J,4,FALSE),"")</f>
        <v/>
      </c>
      <c r="M106" s="16" t="n"/>
      <c r="N106" s="11" t="n"/>
      <c r="O106" s="11" t="n"/>
      <c r="P106" s="13" t="n"/>
      <c r="Q106" s="11" t="n"/>
      <c r="R106" s="11" t="n"/>
      <c r="S106" s="11" t="n"/>
      <c r="T106" s="12">
        <f>IF(A106&lt;&gt;"SIM","NÃO MARCADA",IF(COUNTA(B106:H106,J106,M106:N106,P106:Q106)&lt;12,"PREENCHER OBRIGATÓRIOS",IF(OR(J106&lt;0,M106&lt;0),"VALOR INVÁLIDO","OK")))</f>
        <v/>
      </c>
    </row>
    <row r="107">
      <c r="A107" s="11" t="inlineStr">
        <is>
          <t>NÃO</t>
        </is>
      </c>
      <c r="B107" s="11" t="n"/>
      <c r="C107" s="11" t="n"/>
      <c r="D107" s="11" t="n"/>
      <c r="E107" s="12">
        <f>IFERROR(VLOOKUP(D107,PRODUTOS!$A:$J,2,FALSE),"")</f>
        <v/>
      </c>
      <c r="F107" s="11" t="n"/>
      <c r="G107" s="13" t="n"/>
      <c r="H107" s="11" t="inlineStr">
        <is>
          <t>DISPONÍVEL</t>
        </is>
      </c>
      <c r="I107" s="14" t="n"/>
      <c r="J107" s="15" t="n"/>
      <c r="K107" s="14">
        <f>IF(J107="","",J107-I107)</f>
        <v/>
      </c>
      <c r="L107" s="12">
        <f>IFERROR(VLOOKUP(D107,PRODUTOS!$A:$J,4,FALSE),"")</f>
        <v/>
      </c>
      <c r="M107" s="16" t="n"/>
      <c r="N107" s="11" t="n"/>
      <c r="O107" s="11" t="n"/>
      <c r="P107" s="13" t="n"/>
      <c r="Q107" s="11" t="n"/>
      <c r="R107" s="11" t="n"/>
      <c r="S107" s="11" t="n"/>
      <c r="T107" s="12">
        <f>IF(A107&lt;&gt;"SIM","NÃO MARCADA",IF(COUNTA(B107:H107,J107,M107:N107,P107:Q107)&lt;12,"PREENCHER OBRIGATÓRIOS",IF(OR(J107&lt;0,M107&lt;0),"VALOR INVÁLIDO","OK")))</f>
        <v/>
      </c>
    </row>
    <row r="108">
      <c r="A108" s="11" t="inlineStr">
        <is>
          <t>NÃO</t>
        </is>
      </c>
      <c r="B108" s="11" t="n"/>
      <c r="C108" s="11" t="n"/>
      <c r="D108" s="11" t="n"/>
      <c r="E108" s="12">
        <f>IFERROR(VLOOKUP(D108,PRODUTOS!$A:$J,2,FALSE),"")</f>
        <v/>
      </c>
      <c r="F108" s="11" t="n"/>
      <c r="G108" s="13" t="n"/>
      <c r="H108" s="11" t="inlineStr">
        <is>
          <t>DISPONÍVEL</t>
        </is>
      </c>
      <c r="I108" s="14" t="n"/>
      <c r="J108" s="15" t="n"/>
      <c r="K108" s="14">
        <f>IF(J108="","",J108-I108)</f>
        <v/>
      </c>
      <c r="L108" s="12">
        <f>IFERROR(VLOOKUP(D108,PRODUTOS!$A:$J,4,FALSE),"")</f>
        <v/>
      </c>
      <c r="M108" s="16" t="n"/>
      <c r="N108" s="11" t="n"/>
      <c r="O108" s="11" t="n"/>
      <c r="P108" s="13" t="n"/>
      <c r="Q108" s="11" t="n"/>
      <c r="R108" s="11" t="n"/>
      <c r="S108" s="11" t="n"/>
      <c r="T108" s="12">
        <f>IF(A108&lt;&gt;"SIM","NÃO MARCADA",IF(COUNTA(B108:H108,J108,M108:N108,P108:Q108)&lt;12,"PREENCHER OBRIGATÓRIOS",IF(OR(J108&lt;0,M108&lt;0),"VALOR INVÁLIDO","OK")))</f>
        <v/>
      </c>
    </row>
    <row r="109">
      <c r="A109" s="11" t="inlineStr">
        <is>
          <t>NÃO</t>
        </is>
      </c>
      <c r="B109" s="11" t="n"/>
      <c r="C109" s="11" t="n"/>
      <c r="D109" s="11" t="n"/>
      <c r="E109" s="12">
        <f>IFERROR(VLOOKUP(D109,PRODUTOS!$A:$J,2,FALSE),"")</f>
        <v/>
      </c>
      <c r="F109" s="11" t="n"/>
      <c r="G109" s="13" t="n"/>
      <c r="H109" s="11" t="inlineStr">
        <is>
          <t>DISPONÍVEL</t>
        </is>
      </c>
      <c r="I109" s="14" t="n"/>
      <c r="J109" s="15" t="n"/>
      <c r="K109" s="14">
        <f>IF(J109="","",J109-I109)</f>
        <v/>
      </c>
      <c r="L109" s="12">
        <f>IFERROR(VLOOKUP(D109,PRODUTOS!$A:$J,4,FALSE),"")</f>
        <v/>
      </c>
      <c r="M109" s="16" t="n"/>
      <c r="N109" s="11" t="n"/>
      <c r="O109" s="11" t="n"/>
      <c r="P109" s="13" t="n"/>
      <c r="Q109" s="11" t="n"/>
      <c r="R109" s="11" t="n"/>
      <c r="S109" s="11" t="n"/>
      <c r="T109" s="12">
        <f>IF(A109&lt;&gt;"SIM","NÃO MARCADA",IF(COUNTA(B109:H109,J109,M109:N109,P109:Q109)&lt;12,"PREENCHER OBRIGATÓRIOS",IF(OR(J109&lt;0,M109&lt;0),"VALOR INVÁLIDO","OK")))</f>
        <v/>
      </c>
    </row>
    <row r="110">
      <c r="A110" s="11" t="inlineStr">
        <is>
          <t>NÃO</t>
        </is>
      </c>
      <c r="B110" s="11" t="n"/>
      <c r="C110" s="11" t="n"/>
      <c r="D110" s="11" t="n"/>
      <c r="E110" s="12">
        <f>IFERROR(VLOOKUP(D110,PRODUTOS!$A:$J,2,FALSE),"")</f>
        <v/>
      </c>
      <c r="F110" s="11" t="n"/>
      <c r="G110" s="13" t="n"/>
      <c r="H110" s="11" t="inlineStr">
        <is>
          <t>DISPONÍVEL</t>
        </is>
      </c>
      <c r="I110" s="14" t="n"/>
      <c r="J110" s="15" t="n"/>
      <c r="K110" s="14">
        <f>IF(J110="","",J110-I110)</f>
        <v/>
      </c>
      <c r="L110" s="12">
        <f>IFERROR(VLOOKUP(D110,PRODUTOS!$A:$J,4,FALSE),"")</f>
        <v/>
      </c>
      <c r="M110" s="16" t="n"/>
      <c r="N110" s="11" t="n"/>
      <c r="O110" s="11" t="n"/>
      <c r="P110" s="13" t="n"/>
      <c r="Q110" s="11" t="n"/>
      <c r="R110" s="11" t="n"/>
      <c r="S110" s="11" t="n"/>
      <c r="T110" s="12">
        <f>IF(A110&lt;&gt;"SIM","NÃO MARCADA",IF(COUNTA(B110:H110,J110,M110:N110,P110:Q110)&lt;12,"PREENCHER OBRIGATÓRIOS",IF(OR(J110&lt;0,M110&lt;0),"VALOR INVÁLIDO","OK")))</f>
        <v/>
      </c>
    </row>
    <row r="111">
      <c r="A111" s="11" t="inlineStr">
        <is>
          <t>NÃO</t>
        </is>
      </c>
      <c r="B111" s="11" t="n"/>
      <c r="C111" s="11" t="n"/>
      <c r="D111" s="11" t="n"/>
      <c r="E111" s="12">
        <f>IFERROR(VLOOKUP(D111,PRODUTOS!$A:$J,2,FALSE),"")</f>
        <v/>
      </c>
      <c r="F111" s="11" t="n"/>
      <c r="G111" s="13" t="n"/>
      <c r="H111" s="11" t="inlineStr">
        <is>
          <t>DISPONÍVEL</t>
        </is>
      </c>
      <c r="I111" s="14" t="n"/>
      <c r="J111" s="15" t="n"/>
      <c r="K111" s="14">
        <f>IF(J111="","",J111-I111)</f>
        <v/>
      </c>
      <c r="L111" s="12">
        <f>IFERROR(VLOOKUP(D111,PRODUTOS!$A:$J,4,FALSE),"")</f>
        <v/>
      </c>
      <c r="M111" s="16" t="n"/>
      <c r="N111" s="11" t="n"/>
      <c r="O111" s="11" t="n"/>
      <c r="P111" s="13" t="n"/>
      <c r="Q111" s="11" t="n"/>
      <c r="R111" s="11" t="n"/>
      <c r="S111" s="11" t="n"/>
      <c r="T111" s="12">
        <f>IF(A111&lt;&gt;"SIM","NÃO MARCADA",IF(COUNTA(B111:H111,J111,M111:N111,P111:Q111)&lt;12,"PREENCHER OBRIGATÓRIOS",IF(OR(J111&lt;0,M111&lt;0),"VALOR INVÁLIDO","OK")))</f>
        <v/>
      </c>
    </row>
    <row r="112">
      <c r="A112" s="11" t="inlineStr">
        <is>
          <t>NÃO</t>
        </is>
      </c>
      <c r="B112" s="11" t="n"/>
      <c r="C112" s="11" t="n"/>
      <c r="D112" s="11" t="n"/>
      <c r="E112" s="12">
        <f>IFERROR(VLOOKUP(D112,PRODUTOS!$A:$J,2,FALSE),"")</f>
        <v/>
      </c>
      <c r="F112" s="11" t="n"/>
      <c r="G112" s="13" t="n"/>
      <c r="H112" s="11" t="inlineStr">
        <is>
          <t>DISPONÍVEL</t>
        </is>
      </c>
      <c r="I112" s="14" t="n"/>
      <c r="J112" s="15" t="n"/>
      <c r="K112" s="14">
        <f>IF(J112="","",J112-I112)</f>
        <v/>
      </c>
      <c r="L112" s="12">
        <f>IFERROR(VLOOKUP(D112,PRODUTOS!$A:$J,4,FALSE),"")</f>
        <v/>
      </c>
      <c r="M112" s="16" t="n"/>
      <c r="N112" s="11" t="n"/>
      <c r="O112" s="11" t="n"/>
      <c r="P112" s="13" t="n"/>
      <c r="Q112" s="11" t="n"/>
      <c r="R112" s="11" t="n"/>
      <c r="S112" s="11" t="n"/>
      <c r="T112" s="12">
        <f>IF(A112&lt;&gt;"SIM","NÃO MARCADA",IF(COUNTA(B112:H112,J112,M112:N112,P112:Q112)&lt;12,"PREENCHER OBRIGATÓRIOS",IF(OR(J112&lt;0,M112&lt;0),"VALOR INVÁLIDO","OK")))</f>
        <v/>
      </c>
    </row>
    <row r="113">
      <c r="A113" s="11" t="inlineStr">
        <is>
          <t>NÃO</t>
        </is>
      </c>
      <c r="B113" s="11" t="n"/>
      <c r="C113" s="11" t="n"/>
      <c r="D113" s="11" t="n"/>
      <c r="E113" s="12">
        <f>IFERROR(VLOOKUP(D113,PRODUTOS!$A:$J,2,FALSE),"")</f>
        <v/>
      </c>
      <c r="F113" s="11" t="n"/>
      <c r="G113" s="13" t="n"/>
      <c r="H113" s="11" t="inlineStr">
        <is>
          <t>DISPONÍVEL</t>
        </is>
      </c>
      <c r="I113" s="14" t="n"/>
      <c r="J113" s="15" t="n"/>
      <c r="K113" s="14">
        <f>IF(J113="","",J113-I113)</f>
        <v/>
      </c>
      <c r="L113" s="12">
        <f>IFERROR(VLOOKUP(D113,PRODUTOS!$A:$J,4,FALSE),"")</f>
        <v/>
      </c>
      <c r="M113" s="16" t="n"/>
      <c r="N113" s="11" t="n"/>
      <c r="O113" s="11" t="n"/>
      <c r="P113" s="13" t="n"/>
      <c r="Q113" s="11" t="n"/>
      <c r="R113" s="11" t="n"/>
      <c r="S113" s="11" t="n"/>
      <c r="T113" s="12">
        <f>IF(A113&lt;&gt;"SIM","NÃO MARCADA",IF(COUNTA(B113:H113,J113,M113:N113,P113:Q113)&lt;12,"PREENCHER OBRIGATÓRIOS",IF(OR(J113&lt;0,M113&lt;0),"VALOR INVÁLIDO","OK")))</f>
        <v/>
      </c>
    </row>
    <row r="114">
      <c r="A114" s="11" t="inlineStr">
        <is>
          <t>NÃO</t>
        </is>
      </c>
      <c r="B114" s="11" t="n"/>
      <c r="C114" s="11" t="n"/>
      <c r="D114" s="11" t="n"/>
      <c r="E114" s="12">
        <f>IFERROR(VLOOKUP(D114,PRODUTOS!$A:$J,2,FALSE),"")</f>
        <v/>
      </c>
      <c r="F114" s="11" t="n"/>
      <c r="G114" s="13" t="n"/>
      <c r="H114" s="11" t="inlineStr">
        <is>
          <t>DISPONÍVEL</t>
        </is>
      </c>
      <c r="I114" s="14" t="n"/>
      <c r="J114" s="15" t="n"/>
      <c r="K114" s="14">
        <f>IF(J114="","",J114-I114)</f>
        <v/>
      </c>
      <c r="L114" s="12">
        <f>IFERROR(VLOOKUP(D114,PRODUTOS!$A:$J,4,FALSE),"")</f>
        <v/>
      </c>
      <c r="M114" s="16" t="n"/>
      <c r="N114" s="11" t="n"/>
      <c r="O114" s="11" t="n"/>
      <c r="P114" s="13" t="n"/>
      <c r="Q114" s="11" t="n"/>
      <c r="R114" s="11" t="n"/>
      <c r="S114" s="11" t="n"/>
      <c r="T114" s="12">
        <f>IF(A114&lt;&gt;"SIM","NÃO MARCADA",IF(COUNTA(B114:H114,J114,M114:N114,P114:Q114)&lt;12,"PREENCHER OBRIGATÓRIOS",IF(OR(J114&lt;0,M114&lt;0),"VALOR INVÁLIDO","OK")))</f>
        <v/>
      </c>
    </row>
    <row r="115">
      <c r="A115" s="11" t="inlineStr">
        <is>
          <t>NÃO</t>
        </is>
      </c>
      <c r="B115" s="11" t="n"/>
      <c r="C115" s="11" t="n"/>
      <c r="D115" s="11" t="n"/>
      <c r="E115" s="12">
        <f>IFERROR(VLOOKUP(D115,PRODUTOS!$A:$J,2,FALSE),"")</f>
        <v/>
      </c>
      <c r="F115" s="11" t="n"/>
      <c r="G115" s="13" t="n"/>
      <c r="H115" s="11" t="inlineStr">
        <is>
          <t>DISPONÍVEL</t>
        </is>
      </c>
      <c r="I115" s="14" t="n"/>
      <c r="J115" s="15" t="n"/>
      <c r="K115" s="14">
        <f>IF(J115="","",J115-I115)</f>
        <v/>
      </c>
      <c r="L115" s="12">
        <f>IFERROR(VLOOKUP(D115,PRODUTOS!$A:$J,4,FALSE),"")</f>
        <v/>
      </c>
      <c r="M115" s="16" t="n"/>
      <c r="N115" s="11" t="n"/>
      <c r="O115" s="11" t="n"/>
      <c r="P115" s="13" t="n"/>
      <c r="Q115" s="11" t="n"/>
      <c r="R115" s="11" t="n"/>
      <c r="S115" s="11" t="n"/>
      <c r="T115" s="12">
        <f>IF(A115&lt;&gt;"SIM","NÃO MARCADA",IF(COUNTA(B115:H115,J115,M115:N115,P115:Q115)&lt;12,"PREENCHER OBRIGATÓRIOS",IF(OR(J115&lt;0,M115&lt;0),"VALOR INVÁLIDO","OK")))</f>
        <v/>
      </c>
    </row>
    <row r="116">
      <c r="A116" s="11" t="inlineStr">
        <is>
          <t>NÃO</t>
        </is>
      </c>
      <c r="B116" s="11" t="n"/>
      <c r="C116" s="11" t="n"/>
      <c r="D116" s="11" t="n"/>
      <c r="E116" s="12">
        <f>IFERROR(VLOOKUP(D116,PRODUTOS!$A:$J,2,FALSE),"")</f>
        <v/>
      </c>
      <c r="F116" s="11" t="n"/>
      <c r="G116" s="13" t="n"/>
      <c r="H116" s="11" t="inlineStr">
        <is>
          <t>DISPONÍVEL</t>
        </is>
      </c>
      <c r="I116" s="14" t="n"/>
      <c r="J116" s="15" t="n"/>
      <c r="K116" s="14">
        <f>IF(J116="","",J116-I116)</f>
        <v/>
      </c>
      <c r="L116" s="12">
        <f>IFERROR(VLOOKUP(D116,PRODUTOS!$A:$J,4,FALSE),"")</f>
        <v/>
      </c>
      <c r="M116" s="16" t="n"/>
      <c r="N116" s="11" t="n"/>
      <c r="O116" s="11" t="n"/>
      <c r="P116" s="13" t="n"/>
      <c r="Q116" s="11" t="n"/>
      <c r="R116" s="11" t="n"/>
      <c r="S116" s="11" t="n"/>
      <c r="T116" s="12">
        <f>IF(A116&lt;&gt;"SIM","NÃO MARCADA",IF(COUNTA(B116:H116,J116,M116:N116,P116:Q116)&lt;12,"PREENCHER OBRIGATÓRIOS",IF(OR(J116&lt;0,M116&lt;0),"VALOR INVÁLIDO","OK")))</f>
        <v/>
      </c>
    </row>
    <row r="117">
      <c r="A117" s="11" t="inlineStr">
        <is>
          <t>NÃO</t>
        </is>
      </c>
      <c r="B117" s="11" t="n"/>
      <c r="C117" s="11" t="n"/>
      <c r="D117" s="11" t="n"/>
      <c r="E117" s="12">
        <f>IFERROR(VLOOKUP(D117,PRODUTOS!$A:$J,2,FALSE),"")</f>
        <v/>
      </c>
      <c r="F117" s="11" t="n"/>
      <c r="G117" s="13" t="n"/>
      <c r="H117" s="11" t="inlineStr">
        <is>
          <t>DISPONÍVEL</t>
        </is>
      </c>
      <c r="I117" s="14" t="n"/>
      <c r="J117" s="15" t="n"/>
      <c r="K117" s="14">
        <f>IF(J117="","",J117-I117)</f>
        <v/>
      </c>
      <c r="L117" s="12">
        <f>IFERROR(VLOOKUP(D117,PRODUTOS!$A:$J,4,FALSE),"")</f>
        <v/>
      </c>
      <c r="M117" s="16" t="n"/>
      <c r="N117" s="11" t="n"/>
      <c r="O117" s="11" t="n"/>
      <c r="P117" s="13" t="n"/>
      <c r="Q117" s="11" t="n"/>
      <c r="R117" s="11" t="n"/>
      <c r="S117" s="11" t="n"/>
      <c r="T117" s="12">
        <f>IF(A117&lt;&gt;"SIM","NÃO MARCADA",IF(COUNTA(B117:H117,J117,M117:N117,P117:Q117)&lt;12,"PREENCHER OBRIGATÓRIOS",IF(OR(J117&lt;0,M117&lt;0),"VALOR INVÁLIDO","OK")))</f>
        <v/>
      </c>
    </row>
    <row r="118">
      <c r="A118" s="11" t="inlineStr">
        <is>
          <t>NÃO</t>
        </is>
      </c>
      <c r="B118" s="11" t="n"/>
      <c r="C118" s="11" t="n"/>
      <c r="D118" s="11" t="n"/>
      <c r="E118" s="12">
        <f>IFERROR(VLOOKUP(D118,PRODUTOS!$A:$J,2,FALSE),"")</f>
        <v/>
      </c>
      <c r="F118" s="11" t="n"/>
      <c r="G118" s="13" t="n"/>
      <c r="H118" s="11" t="inlineStr">
        <is>
          <t>DISPONÍVEL</t>
        </is>
      </c>
      <c r="I118" s="14" t="n"/>
      <c r="J118" s="15" t="n"/>
      <c r="K118" s="14">
        <f>IF(J118="","",J118-I118)</f>
        <v/>
      </c>
      <c r="L118" s="12">
        <f>IFERROR(VLOOKUP(D118,PRODUTOS!$A:$J,4,FALSE),"")</f>
        <v/>
      </c>
      <c r="M118" s="16" t="n"/>
      <c r="N118" s="11" t="n"/>
      <c r="O118" s="11" t="n"/>
      <c r="P118" s="13" t="n"/>
      <c r="Q118" s="11" t="n"/>
      <c r="R118" s="11" t="n"/>
      <c r="S118" s="11" t="n"/>
      <c r="T118" s="12">
        <f>IF(A118&lt;&gt;"SIM","NÃO MARCADA",IF(COUNTA(B118:H118,J118,M118:N118,P118:Q118)&lt;12,"PREENCHER OBRIGATÓRIOS",IF(OR(J118&lt;0,M118&lt;0),"VALOR INVÁLIDO","OK")))</f>
        <v/>
      </c>
    </row>
    <row r="119">
      <c r="A119" s="11" t="inlineStr">
        <is>
          <t>NÃO</t>
        </is>
      </c>
      <c r="B119" s="11" t="n"/>
      <c r="C119" s="11" t="n"/>
      <c r="D119" s="11" t="n"/>
      <c r="E119" s="12">
        <f>IFERROR(VLOOKUP(D119,PRODUTOS!$A:$J,2,FALSE),"")</f>
        <v/>
      </c>
      <c r="F119" s="11" t="n"/>
      <c r="G119" s="13" t="n"/>
      <c r="H119" s="11" t="inlineStr">
        <is>
          <t>DISPONÍVEL</t>
        </is>
      </c>
      <c r="I119" s="14" t="n"/>
      <c r="J119" s="15" t="n"/>
      <c r="K119" s="14">
        <f>IF(J119="","",J119-I119)</f>
        <v/>
      </c>
      <c r="L119" s="12">
        <f>IFERROR(VLOOKUP(D119,PRODUTOS!$A:$J,4,FALSE),"")</f>
        <v/>
      </c>
      <c r="M119" s="16" t="n"/>
      <c r="N119" s="11" t="n"/>
      <c r="O119" s="11" t="n"/>
      <c r="P119" s="13" t="n"/>
      <c r="Q119" s="11" t="n"/>
      <c r="R119" s="11" t="n"/>
      <c r="S119" s="11" t="n"/>
      <c r="T119" s="12">
        <f>IF(A119&lt;&gt;"SIM","NÃO MARCADA",IF(COUNTA(B119:H119,J119,M119:N119,P119:Q119)&lt;12,"PREENCHER OBRIGATÓRIOS",IF(OR(J119&lt;0,M119&lt;0),"VALOR INVÁLIDO","OK")))</f>
        <v/>
      </c>
    </row>
    <row r="120">
      <c r="A120" s="11" t="inlineStr">
        <is>
          <t>NÃO</t>
        </is>
      </c>
      <c r="B120" s="11" t="n"/>
      <c r="C120" s="11" t="n"/>
      <c r="D120" s="11" t="n"/>
      <c r="E120" s="12">
        <f>IFERROR(VLOOKUP(D120,PRODUTOS!$A:$J,2,FALSE),"")</f>
        <v/>
      </c>
      <c r="F120" s="11" t="n"/>
      <c r="G120" s="13" t="n"/>
      <c r="H120" s="11" t="inlineStr">
        <is>
          <t>DISPONÍVEL</t>
        </is>
      </c>
      <c r="I120" s="14" t="n"/>
      <c r="J120" s="15" t="n"/>
      <c r="K120" s="14">
        <f>IF(J120="","",J120-I120)</f>
        <v/>
      </c>
      <c r="L120" s="12">
        <f>IFERROR(VLOOKUP(D120,PRODUTOS!$A:$J,4,FALSE),"")</f>
        <v/>
      </c>
      <c r="M120" s="16" t="n"/>
      <c r="N120" s="11" t="n"/>
      <c r="O120" s="11" t="n"/>
      <c r="P120" s="13" t="n"/>
      <c r="Q120" s="11" t="n"/>
      <c r="R120" s="11" t="n"/>
      <c r="S120" s="11" t="n"/>
      <c r="T120" s="12">
        <f>IF(A120&lt;&gt;"SIM","NÃO MARCADA",IF(COUNTA(B120:H120,J120,M120:N120,P120:Q120)&lt;12,"PREENCHER OBRIGATÓRIOS",IF(OR(J120&lt;0,M120&lt;0),"VALOR INVÁLIDO","OK")))</f>
        <v/>
      </c>
    </row>
    <row r="121">
      <c r="A121" s="11" t="inlineStr">
        <is>
          <t>NÃO</t>
        </is>
      </c>
      <c r="B121" s="11" t="n"/>
      <c r="C121" s="11" t="n"/>
      <c r="D121" s="11" t="n"/>
      <c r="E121" s="12">
        <f>IFERROR(VLOOKUP(D121,PRODUTOS!$A:$J,2,FALSE),"")</f>
        <v/>
      </c>
      <c r="F121" s="11" t="n"/>
      <c r="G121" s="13" t="n"/>
      <c r="H121" s="11" t="inlineStr">
        <is>
          <t>DISPONÍVEL</t>
        </is>
      </c>
      <c r="I121" s="14" t="n"/>
      <c r="J121" s="15" t="n"/>
      <c r="K121" s="14">
        <f>IF(J121="","",J121-I121)</f>
        <v/>
      </c>
      <c r="L121" s="12">
        <f>IFERROR(VLOOKUP(D121,PRODUTOS!$A:$J,4,FALSE),"")</f>
        <v/>
      </c>
      <c r="M121" s="16" t="n"/>
      <c r="N121" s="11" t="n"/>
      <c r="O121" s="11" t="n"/>
      <c r="P121" s="13" t="n"/>
      <c r="Q121" s="11" t="n"/>
      <c r="R121" s="11" t="n"/>
      <c r="S121" s="11" t="n"/>
      <c r="T121" s="12">
        <f>IF(A121&lt;&gt;"SIM","NÃO MARCADA",IF(COUNTA(B121:H121,J121,M121:N121,P121:Q121)&lt;12,"PREENCHER OBRIGATÓRIOS",IF(OR(J121&lt;0,M121&lt;0),"VALOR INVÁLIDO","OK")))</f>
        <v/>
      </c>
    </row>
    <row r="122">
      <c r="A122" s="11" t="inlineStr">
        <is>
          <t>NÃO</t>
        </is>
      </c>
      <c r="B122" s="11" t="n"/>
      <c r="C122" s="11" t="n"/>
      <c r="D122" s="11" t="n"/>
      <c r="E122" s="12">
        <f>IFERROR(VLOOKUP(D122,PRODUTOS!$A:$J,2,FALSE),"")</f>
        <v/>
      </c>
      <c r="F122" s="11" t="n"/>
      <c r="G122" s="13" t="n"/>
      <c r="H122" s="11" t="inlineStr">
        <is>
          <t>DISPONÍVEL</t>
        </is>
      </c>
      <c r="I122" s="14" t="n"/>
      <c r="J122" s="15" t="n"/>
      <c r="K122" s="14">
        <f>IF(J122="","",J122-I122)</f>
        <v/>
      </c>
      <c r="L122" s="12">
        <f>IFERROR(VLOOKUP(D122,PRODUTOS!$A:$J,4,FALSE),"")</f>
        <v/>
      </c>
      <c r="M122" s="16" t="n"/>
      <c r="N122" s="11" t="n"/>
      <c r="O122" s="11" t="n"/>
      <c r="P122" s="13" t="n"/>
      <c r="Q122" s="11" t="n"/>
      <c r="R122" s="11" t="n"/>
      <c r="S122" s="11" t="n"/>
      <c r="T122" s="12">
        <f>IF(A122&lt;&gt;"SIM","NÃO MARCADA",IF(COUNTA(B122:H122,J122,M122:N122,P122:Q122)&lt;12,"PREENCHER OBRIGATÓRIOS",IF(OR(J122&lt;0,M122&lt;0),"VALOR INVÁLIDO","OK")))</f>
        <v/>
      </c>
    </row>
    <row r="123">
      <c r="A123" s="11" t="inlineStr">
        <is>
          <t>NÃO</t>
        </is>
      </c>
      <c r="B123" s="11" t="n"/>
      <c r="C123" s="11" t="n"/>
      <c r="D123" s="11" t="n"/>
      <c r="E123" s="12">
        <f>IFERROR(VLOOKUP(D123,PRODUTOS!$A:$J,2,FALSE),"")</f>
        <v/>
      </c>
      <c r="F123" s="11" t="n"/>
      <c r="G123" s="13" t="n"/>
      <c r="H123" s="11" t="inlineStr">
        <is>
          <t>DISPONÍVEL</t>
        </is>
      </c>
      <c r="I123" s="14" t="n"/>
      <c r="J123" s="15" t="n"/>
      <c r="K123" s="14">
        <f>IF(J123="","",J123-I123)</f>
        <v/>
      </c>
      <c r="L123" s="12">
        <f>IFERROR(VLOOKUP(D123,PRODUTOS!$A:$J,4,FALSE),"")</f>
        <v/>
      </c>
      <c r="M123" s="16" t="n"/>
      <c r="N123" s="11" t="n"/>
      <c r="O123" s="11" t="n"/>
      <c r="P123" s="13" t="n"/>
      <c r="Q123" s="11" t="n"/>
      <c r="R123" s="11" t="n"/>
      <c r="S123" s="11" t="n"/>
      <c r="T123" s="12">
        <f>IF(A123&lt;&gt;"SIM","NÃO MARCADA",IF(COUNTA(B123:H123,J123,M123:N123,P123:Q123)&lt;12,"PREENCHER OBRIGATÓRIOS",IF(OR(J123&lt;0,M123&lt;0),"VALOR INVÁLIDO","OK")))</f>
        <v/>
      </c>
    </row>
    <row r="124">
      <c r="A124" s="11" t="inlineStr">
        <is>
          <t>NÃO</t>
        </is>
      </c>
      <c r="B124" s="11" t="n"/>
      <c r="C124" s="11" t="n"/>
      <c r="D124" s="11" t="n"/>
      <c r="E124" s="12">
        <f>IFERROR(VLOOKUP(D124,PRODUTOS!$A:$J,2,FALSE),"")</f>
        <v/>
      </c>
      <c r="F124" s="11" t="n"/>
      <c r="G124" s="13" t="n"/>
      <c r="H124" s="11" t="inlineStr">
        <is>
          <t>DISPONÍVEL</t>
        </is>
      </c>
      <c r="I124" s="14" t="n"/>
      <c r="J124" s="15" t="n"/>
      <c r="K124" s="14">
        <f>IF(J124="","",J124-I124)</f>
        <v/>
      </c>
      <c r="L124" s="12">
        <f>IFERROR(VLOOKUP(D124,PRODUTOS!$A:$J,4,FALSE),"")</f>
        <v/>
      </c>
      <c r="M124" s="16" t="n"/>
      <c r="N124" s="11" t="n"/>
      <c r="O124" s="11" t="n"/>
      <c r="P124" s="13" t="n"/>
      <c r="Q124" s="11" t="n"/>
      <c r="R124" s="11" t="n"/>
      <c r="S124" s="11" t="n"/>
      <c r="T124" s="12">
        <f>IF(A124&lt;&gt;"SIM","NÃO MARCADA",IF(COUNTA(B124:H124,J124,M124:N124,P124:Q124)&lt;12,"PREENCHER OBRIGATÓRIOS",IF(OR(J124&lt;0,M124&lt;0),"VALOR INVÁLIDO","OK")))</f>
        <v/>
      </c>
    </row>
    <row r="125">
      <c r="A125" s="11" t="inlineStr">
        <is>
          <t>NÃO</t>
        </is>
      </c>
      <c r="B125" s="11" t="n"/>
      <c r="C125" s="11" t="n"/>
      <c r="D125" s="11" t="n"/>
      <c r="E125" s="12">
        <f>IFERROR(VLOOKUP(D125,PRODUTOS!$A:$J,2,FALSE),"")</f>
        <v/>
      </c>
      <c r="F125" s="11" t="n"/>
      <c r="G125" s="13" t="n"/>
      <c r="H125" s="11" t="inlineStr">
        <is>
          <t>DISPONÍVEL</t>
        </is>
      </c>
      <c r="I125" s="14" t="n"/>
      <c r="J125" s="15" t="n"/>
      <c r="K125" s="14">
        <f>IF(J125="","",J125-I125)</f>
        <v/>
      </c>
      <c r="L125" s="12">
        <f>IFERROR(VLOOKUP(D125,PRODUTOS!$A:$J,4,FALSE),"")</f>
        <v/>
      </c>
      <c r="M125" s="16" t="n"/>
      <c r="N125" s="11" t="n"/>
      <c r="O125" s="11" t="n"/>
      <c r="P125" s="13" t="n"/>
      <c r="Q125" s="11" t="n"/>
      <c r="R125" s="11" t="n"/>
      <c r="S125" s="11" t="n"/>
      <c r="T125" s="12">
        <f>IF(A125&lt;&gt;"SIM","NÃO MARCADA",IF(COUNTA(B125:H125,J125,M125:N125,P125:Q125)&lt;12,"PREENCHER OBRIGATÓRIOS",IF(OR(J125&lt;0,M125&lt;0),"VALOR INVÁLIDO","OK")))</f>
        <v/>
      </c>
    </row>
    <row r="126">
      <c r="A126" s="11" t="inlineStr">
        <is>
          <t>NÃO</t>
        </is>
      </c>
      <c r="B126" s="11" t="n"/>
      <c r="C126" s="11" t="n"/>
      <c r="D126" s="11" t="n"/>
      <c r="E126" s="12">
        <f>IFERROR(VLOOKUP(D126,PRODUTOS!$A:$J,2,FALSE),"")</f>
        <v/>
      </c>
      <c r="F126" s="11" t="n"/>
      <c r="G126" s="13" t="n"/>
      <c r="H126" s="11" t="inlineStr">
        <is>
          <t>DISPONÍVEL</t>
        </is>
      </c>
      <c r="I126" s="14" t="n"/>
      <c r="J126" s="15" t="n"/>
      <c r="K126" s="14">
        <f>IF(J126="","",J126-I126)</f>
        <v/>
      </c>
      <c r="L126" s="12">
        <f>IFERROR(VLOOKUP(D126,PRODUTOS!$A:$J,4,FALSE),"")</f>
        <v/>
      </c>
      <c r="M126" s="16" t="n"/>
      <c r="N126" s="11" t="n"/>
      <c r="O126" s="11" t="n"/>
      <c r="P126" s="13" t="n"/>
      <c r="Q126" s="11" t="n"/>
      <c r="R126" s="11" t="n"/>
      <c r="S126" s="11" t="n"/>
      <c r="T126" s="12">
        <f>IF(A126&lt;&gt;"SIM","NÃO MARCADA",IF(COUNTA(B126:H126,J126,M126:N126,P126:Q126)&lt;12,"PREENCHER OBRIGATÓRIOS",IF(OR(J126&lt;0,M126&lt;0),"VALOR INVÁLIDO","OK")))</f>
        <v/>
      </c>
    </row>
    <row r="127">
      <c r="A127" s="11" t="inlineStr">
        <is>
          <t>NÃO</t>
        </is>
      </c>
      <c r="B127" s="11" t="n"/>
      <c r="C127" s="11" t="n"/>
      <c r="D127" s="11" t="n"/>
      <c r="E127" s="12">
        <f>IFERROR(VLOOKUP(D127,PRODUTOS!$A:$J,2,FALSE),"")</f>
        <v/>
      </c>
      <c r="F127" s="11" t="n"/>
      <c r="G127" s="13" t="n"/>
      <c r="H127" s="11" t="inlineStr">
        <is>
          <t>DISPONÍVEL</t>
        </is>
      </c>
      <c r="I127" s="14" t="n"/>
      <c r="J127" s="15" t="n"/>
      <c r="K127" s="14">
        <f>IF(J127="","",J127-I127)</f>
        <v/>
      </c>
      <c r="L127" s="12">
        <f>IFERROR(VLOOKUP(D127,PRODUTOS!$A:$J,4,FALSE),"")</f>
        <v/>
      </c>
      <c r="M127" s="16" t="n"/>
      <c r="N127" s="11" t="n"/>
      <c r="O127" s="11" t="n"/>
      <c r="P127" s="13" t="n"/>
      <c r="Q127" s="11" t="n"/>
      <c r="R127" s="11" t="n"/>
      <c r="S127" s="11" t="n"/>
      <c r="T127" s="12">
        <f>IF(A127&lt;&gt;"SIM","NÃO MARCADA",IF(COUNTA(B127:H127,J127,M127:N127,P127:Q127)&lt;12,"PREENCHER OBRIGATÓRIOS",IF(OR(J127&lt;0,M127&lt;0),"VALOR INVÁLIDO","OK")))</f>
        <v/>
      </c>
    </row>
    <row r="128">
      <c r="A128" s="11" t="inlineStr">
        <is>
          <t>NÃO</t>
        </is>
      </c>
      <c r="B128" s="11" t="n"/>
      <c r="C128" s="11" t="n"/>
      <c r="D128" s="11" t="n"/>
      <c r="E128" s="12">
        <f>IFERROR(VLOOKUP(D128,PRODUTOS!$A:$J,2,FALSE),"")</f>
        <v/>
      </c>
      <c r="F128" s="11" t="n"/>
      <c r="G128" s="13" t="n"/>
      <c r="H128" s="11" t="inlineStr">
        <is>
          <t>DISPONÍVEL</t>
        </is>
      </c>
      <c r="I128" s="14" t="n"/>
      <c r="J128" s="15" t="n"/>
      <c r="K128" s="14">
        <f>IF(J128="","",J128-I128)</f>
        <v/>
      </c>
      <c r="L128" s="12">
        <f>IFERROR(VLOOKUP(D128,PRODUTOS!$A:$J,4,FALSE),"")</f>
        <v/>
      </c>
      <c r="M128" s="16" t="n"/>
      <c r="N128" s="11" t="n"/>
      <c r="O128" s="11" t="n"/>
      <c r="P128" s="13" t="n"/>
      <c r="Q128" s="11" t="n"/>
      <c r="R128" s="11" t="n"/>
      <c r="S128" s="11" t="n"/>
      <c r="T128" s="12">
        <f>IF(A128&lt;&gt;"SIM","NÃO MARCADA",IF(COUNTA(B128:H128,J128,M128:N128,P128:Q128)&lt;12,"PREENCHER OBRIGATÓRIOS",IF(OR(J128&lt;0,M128&lt;0),"VALOR INVÁLIDO","OK")))</f>
        <v/>
      </c>
    </row>
    <row r="129">
      <c r="A129" s="11" t="inlineStr">
        <is>
          <t>NÃO</t>
        </is>
      </c>
      <c r="B129" s="11" t="n"/>
      <c r="C129" s="11" t="n"/>
      <c r="D129" s="11" t="n"/>
      <c r="E129" s="12">
        <f>IFERROR(VLOOKUP(D129,PRODUTOS!$A:$J,2,FALSE),"")</f>
        <v/>
      </c>
      <c r="F129" s="11" t="n"/>
      <c r="G129" s="13" t="n"/>
      <c r="H129" s="11" t="inlineStr">
        <is>
          <t>DISPONÍVEL</t>
        </is>
      </c>
      <c r="I129" s="14" t="n"/>
      <c r="J129" s="15" t="n"/>
      <c r="K129" s="14">
        <f>IF(J129="","",J129-I129)</f>
        <v/>
      </c>
      <c r="L129" s="12">
        <f>IFERROR(VLOOKUP(D129,PRODUTOS!$A:$J,4,FALSE),"")</f>
        <v/>
      </c>
      <c r="M129" s="16" t="n"/>
      <c r="N129" s="11" t="n"/>
      <c r="O129" s="11" t="n"/>
      <c r="P129" s="13" t="n"/>
      <c r="Q129" s="11" t="n"/>
      <c r="R129" s="11" t="n"/>
      <c r="S129" s="11" t="n"/>
      <c r="T129" s="12">
        <f>IF(A129&lt;&gt;"SIM","NÃO MARCADA",IF(COUNTA(B129:H129,J129,M129:N129,P129:Q129)&lt;12,"PREENCHER OBRIGATÓRIOS",IF(OR(J129&lt;0,M129&lt;0),"VALOR INVÁLIDO","OK")))</f>
        <v/>
      </c>
    </row>
    <row r="130">
      <c r="A130" s="11" t="inlineStr">
        <is>
          <t>NÃO</t>
        </is>
      </c>
      <c r="B130" s="11" t="n"/>
      <c r="C130" s="11" t="n"/>
      <c r="D130" s="11" t="n"/>
      <c r="E130" s="12">
        <f>IFERROR(VLOOKUP(D130,PRODUTOS!$A:$J,2,FALSE),"")</f>
        <v/>
      </c>
      <c r="F130" s="11" t="n"/>
      <c r="G130" s="13" t="n"/>
      <c r="H130" s="11" t="inlineStr">
        <is>
          <t>DISPONÍVEL</t>
        </is>
      </c>
      <c r="I130" s="14" t="n"/>
      <c r="J130" s="15" t="n"/>
      <c r="K130" s="14">
        <f>IF(J130="","",J130-I130)</f>
        <v/>
      </c>
      <c r="L130" s="12">
        <f>IFERROR(VLOOKUP(D130,PRODUTOS!$A:$J,4,FALSE),"")</f>
        <v/>
      </c>
      <c r="M130" s="16" t="n"/>
      <c r="N130" s="11" t="n"/>
      <c r="O130" s="11" t="n"/>
      <c r="P130" s="13" t="n"/>
      <c r="Q130" s="11" t="n"/>
      <c r="R130" s="11" t="n"/>
      <c r="S130" s="11" t="n"/>
      <c r="T130" s="12">
        <f>IF(A130&lt;&gt;"SIM","NÃO MARCADA",IF(COUNTA(B130:H130,J130,M130:N130,P130:Q130)&lt;12,"PREENCHER OBRIGATÓRIOS",IF(OR(J130&lt;0,M130&lt;0),"VALOR INVÁLIDO","OK")))</f>
        <v/>
      </c>
    </row>
    <row r="131">
      <c r="A131" s="11" t="inlineStr">
        <is>
          <t>NÃO</t>
        </is>
      </c>
      <c r="B131" s="11" t="n"/>
      <c r="C131" s="11" t="n"/>
      <c r="D131" s="11" t="n"/>
      <c r="E131" s="12">
        <f>IFERROR(VLOOKUP(D131,PRODUTOS!$A:$J,2,FALSE),"")</f>
        <v/>
      </c>
      <c r="F131" s="11" t="n"/>
      <c r="G131" s="13" t="n"/>
      <c r="H131" s="11" t="inlineStr">
        <is>
          <t>DISPONÍVEL</t>
        </is>
      </c>
      <c r="I131" s="14" t="n"/>
      <c r="J131" s="15" t="n"/>
      <c r="K131" s="14">
        <f>IF(J131="","",J131-I131)</f>
        <v/>
      </c>
      <c r="L131" s="12">
        <f>IFERROR(VLOOKUP(D131,PRODUTOS!$A:$J,4,FALSE),"")</f>
        <v/>
      </c>
      <c r="M131" s="16" t="n"/>
      <c r="N131" s="11" t="n"/>
      <c r="O131" s="11" t="n"/>
      <c r="P131" s="13" t="n"/>
      <c r="Q131" s="11" t="n"/>
      <c r="R131" s="11" t="n"/>
      <c r="S131" s="11" t="n"/>
      <c r="T131" s="12">
        <f>IF(A131&lt;&gt;"SIM","NÃO MARCADA",IF(COUNTA(B131:H131,J131,M131:N131,P131:Q131)&lt;12,"PREENCHER OBRIGATÓRIOS",IF(OR(J131&lt;0,M131&lt;0),"VALOR INVÁLIDO","OK")))</f>
        <v/>
      </c>
    </row>
    <row r="132">
      <c r="A132" s="11" t="inlineStr">
        <is>
          <t>NÃO</t>
        </is>
      </c>
      <c r="B132" s="11" t="n"/>
      <c r="C132" s="11" t="n"/>
      <c r="D132" s="11" t="n"/>
      <c r="E132" s="12">
        <f>IFERROR(VLOOKUP(D132,PRODUTOS!$A:$J,2,FALSE),"")</f>
        <v/>
      </c>
      <c r="F132" s="11" t="n"/>
      <c r="G132" s="13" t="n"/>
      <c r="H132" s="11" t="inlineStr">
        <is>
          <t>DISPONÍVEL</t>
        </is>
      </c>
      <c r="I132" s="14" t="n"/>
      <c r="J132" s="15" t="n"/>
      <c r="K132" s="14">
        <f>IF(J132="","",J132-I132)</f>
        <v/>
      </c>
      <c r="L132" s="12">
        <f>IFERROR(VLOOKUP(D132,PRODUTOS!$A:$J,4,FALSE),"")</f>
        <v/>
      </c>
      <c r="M132" s="16" t="n"/>
      <c r="N132" s="11" t="n"/>
      <c r="O132" s="11" t="n"/>
      <c r="P132" s="13" t="n"/>
      <c r="Q132" s="11" t="n"/>
      <c r="R132" s="11" t="n"/>
      <c r="S132" s="11" t="n"/>
      <c r="T132" s="12">
        <f>IF(A132&lt;&gt;"SIM","NÃO MARCADA",IF(COUNTA(B132:H132,J132,M132:N132,P132:Q132)&lt;12,"PREENCHER OBRIGATÓRIOS",IF(OR(J132&lt;0,M132&lt;0),"VALOR INVÁLIDO","OK")))</f>
        <v/>
      </c>
    </row>
    <row r="133">
      <c r="A133" s="11" t="inlineStr">
        <is>
          <t>NÃO</t>
        </is>
      </c>
      <c r="B133" s="11" t="n"/>
      <c r="C133" s="11" t="n"/>
      <c r="D133" s="11" t="n"/>
      <c r="E133" s="12">
        <f>IFERROR(VLOOKUP(D133,PRODUTOS!$A:$J,2,FALSE),"")</f>
        <v/>
      </c>
      <c r="F133" s="11" t="n"/>
      <c r="G133" s="13" t="n"/>
      <c r="H133" s="11" t="inlineStr">
        <is>
          <t>DISPONÍVEL</t>
        </is>
      </c>
      <c r="I133" s="14" t="n"/>
      <c r="J133" s="15" t="n"/>
      <c r="K133" s="14">
        <f>IF(J133="","",J133-I133)</f>
        <v/>
      </c>
      <c r="L133" s="12">
        <f>IFERROR(VLOOKUP(D133,PRODUTOS!$A:$J,4,FALSE),"")</f>
        <v/>
      </c>
      <c r="M133" s="16" t="n"/>
      <c r="N133" s="11" t="n"/>
      <c r="O133" s="11" t="n"/>
      <c r="P133" s="13" t="n"/>
      <c r="Q133" s="11" t="n"/>
      <c r="R133" s="11" t="n"/>
      <c r="S133" s="11" t="n"/>
      <c r="T133" s="12">
        <f>IF(A133&lt;&gt;"SIM","NÃO MARCADA",IF(COUNTA(B133:H133,J133,M133:N133,P133:Q133)&lt;12,"PREENCHER OBRIGATÓRIOS",IF(OR(J133&lt;0,M133&lt;0),"VALOR INVÁLIDO","OK")))</f>
        <v/>
      </c>
    </row>
    <row r="134">
      <c r="A134" s="11" t="inlineStr">
        <is>
          <t>NÃO</t>
        </is>
      </c>
      <c r="B134" s="11" t="n"/>
      <c r="C134" s="11" t="n"/>
      <c r="D134" s="11" t="n"/>
      <c r="E134" s="12">
        <f>IFERROR(VLOOKUP(D134,PRODUTOS!$A:$J,2,FALSE),"")</f>
        <v/>
      </c>
      <c r="F134" s="11" t="n"/>
      <c r="G134" s="13" t="n"/>
      <c r="H134" s="11" t="inlineStr">
        <is>
          <t>DISPONÍVEL</t>
        </is>
      </c>
      <c r="I134" s="14" t="n"/>
      <c r="J134" s="15" t="n"/>
      <c r="K134" s="14">
        <f>IF(J134="","",J134-I134)</f>
        <v/>
      </c>
      <c r="L134" s="12">
        <f>IFERROR(VLOOKUP(D134,PRODUTOS!$A:$J,4,FALSE),"")</f>
        <v/>
      </c>
      <c r="M134" s="16" t="n"/>
      <c r="N134" s="11" t="n"/>
      <c r="O134" s="11" t="n"/>
      <c r="P134" s="13" t="n"/>
      <c r="Q134" s="11" t="n"/>
      <c r="R134" s="11" t="n"/>
      <c r="S134" s="11" t="n"/>
      <c r="T134" s="12">
        <f>IF(A134&lt;&gt;"SIM","NÃO MARCADA",IF(COUNTA(B134:H134,J134,M134:N134,P134:Q134)&lt;12,"PREENCHER OBRIGATÓRIOS",IF(OR(J134&lt;0,M134&lt;0),"VALOR INVÁLIDO","OK")))</f>
        <v/>
      </c>
    </row>
    <row r="135">
      <c r="A135" s="11" t="inlineStr">
        <is>
          <t>NÃO</t>
        </is>
      </c>
      <c r="B135" s="11" t="n"/>
      <c r="C135" s="11" t="n"/>
      <c r="D135" s="11" t="n"/>
      <c r="E135" s="12">
        <f>IFERROR(VLOOKUP(D135,PRODUTOS!$A:$J,2,FALSE),"")</f>
        <v/>
      </c>
      <c r="F135" s="11" t="n"/>
      <c r="G135" s="13" t="n"/>
      <c r="H135" s="11" t="inlineStr">
        <is>
          <t>DISPONÍVEL</t>
        </is>
      </c>
      <c r="I135" s="14" t="n"/>
      <c r="J135" s="15" t="n"/>
      <c r="K135" s="14">
        <f>IF(J135="","",J135-I135)</f>
        <v/>
      </c>
      <c r="L135" s="12">
        <f>IFERROR(VLOOKUP(D135,PRODUTOS!$A:$J,4,FALSE),"")</f>
        <v/>
      </c>
      <c r="M135" s="16" t="n"/>
      <c r="N135" s="11" t="n"/>
      <c r="O135" s="11" t="n"/>
      <c r="P135" s="13" t="n"/>
      <c r="Q135" s="11" t="n"/>
      <c r="R135" s="11" t="n"/>
      <c r="S135" s="11" t="n"/>
      <c r="T135" s="12">
        <f>IF(A135&lt;&gt;"SIM","NÃO MARCADA",IF(COUNTA(B135:H135,J135,M135:N135,P135:Q135)&lt;12,"PREENCHER OBRIGATÓRIOS",IF(OR(J135&lt;0,M135&lt;0),"VALOR INVÁLIDO","OK")))</f>
        <v/>
      </c>
    </row>
    <row r="136">
      <c r="A136" s="11" t="inlineStr">
        <is>
          <t>NÃO</t>
        </is>
      </c>
      <c r="B136" s="11" t="n"/>
      <c r="C136" s="11" t="n"/>
      <c r="D136" s="11" t="n"/>
      <c r="E136" s="12">
        <f>IFERROR(VLOOKUP(D136,PRODUTOS!$A:$J,2,FALSE),"")</f>
        <v/>
      </c>
      <c r="F136" s="11" t="n"/>
      <c r="G136" s="13" t="n"/>
      <c r="H136" s="11" t="inlineStr">
        <is>
          <t>DISPONÍVEL</t>
        </is>
      </c>
      <c r="I136" s="14" t="n"/>
      <c r="J136" s="15" t="n"/>
      <c r="K136" s="14">
        <f>IF(J136="","",J136-I136)</f>
        <v/>
      </c>
      <c r="L136" s="12">
        <f>IFERROR(VLOOKUP(D136,PRODUTOS!$A:$J,4,FALSE),"")</f>
        <v/>
      </c>
      <c r="M136" s="16" t="n"/>
      <c r="N136" s="11" t="n"/>
      <c r="O136" s="11" t="n"/>
      <c r="P136" s="13" t="n"/>
      <c r="Q136" s="11" t="n"/>
      <c r="R136" s="11" t="n"/>
      <c r="S136" s="11" t="n"/>
      <c r="T136" s="12">
        <f>IF(A136&lt;&gt;"SIM","NÃO MARCADA",IF(COUNTA(B136:H136,J136,M136:N136,P136:Q136)&lt;12,"PREENCHER OBRIGATÓRIOS",IF(OR(J136&lt;0,M136&lt;0),"VALOR INVÁLIDO","OK")))</f>
        <v/>
      </c>
    </row>
    <row r="137">
      <c r="A137" s="11" t="inlineStr">
        <is>
          <t>NÃO</t>
        </is>
      </c>
      <c r="B137" s="11" t="n"/>
      <c r="C137" s="11" t="n"/>
      <c r="D137" s="11" t="n"/>
      <c r="E137" s="12">
        <f>IFERROR(VLOOKUP(D137,PRODUTOS!$A:$J,2,FALSE),"")</f>
        <v/>
      </c>
      <c r="F137" s="11" t="n"/>
      <c r="G137" s="13" t="n"/>
      <c r="H137" s="11" t="inlineStr">
        <is>
          <t>DISPONÍVEL</t>
        </is>
      </c>
      <c r="I137" s="14" t="n"/>
      <c r="J137" s="15" t="n"/>
      <c r="K137" s="14">
        <f>IF(J137="","",J137-I137)</f>
        <v/>
      </c>
      <c r="L137" s="12">
        <f>IFERROR(VLOOKUP(D137,PRODUTOS!$A:$J,4,FALSE),"")</f>
        <v/>
      </c>
      <c r="M137" s="16" t="n"/>
      <c r="N137" s="11" t="n"/>
      <c r="O137" s="11" t="n"/>
      <c r="P137" s="13" t="n"/>
      <c r="Q137" s="11" t="n"/>
      <c r="R137" s="11" t="n"/>
      <c r="S137" s="11" t="n"/>
      <c r="T137" s="12">
        <f>IF(A137&lt;&gt;"SIM","NÃO MARCADA",IF(COUNTA(B137:H137,J137,M137:N137,P137:Q137)&lt;12,"PREENCHER OBRIGATÓRIOS",IF(OR(J137&lt;0,M137&lt;0),"VALOR INVÁLIDO","OK")))</f>
        <v/>
      </c>
    </row>
    <row r="138">
      <c r="A138" s="11" t="inlineStr">
        <is>
          <t>NÃO</t>
        </is>
      </c>
      <c r="B138" s="11" t="n"/>
      <c r="C138" s="11" t="n"/>
      <c r="D138" s="11" t="n"/>
      <c r="E138" s="12">
        <f>IFERROR(VLOOKUP(D138,PRODUTOS!$A:$J,2,FALSE),"")</f>
        <v/>
      </c>
      <c r="F138" s="11" t="n"/>
      <c r="G138" s="13" t="n"/>
      <c r="H138" s="11" t="inlineStr">
        <is>
          <t>DISPONÍVEL</t>
        </is>
      </c>
      <c r="I138" s="14" t="n"/>
      <c r="J138" s="15" t="n"/>
      <c r="K138" s="14">
        <f>IF(J138="","",J138-I138)</f>
        <v/>
      </c>
      <c r="L138" s="12">
        <f>IFERROR(VLOOKUP(D138,PRODUTOS!$A:$J,4,FALSE),"")</f>
        <v/>
      </c>
      <c r="M138" s="16" t="n"/>
      <c r="N138" s="11" t="n"/>
      <c r="O138" s="11" t="n"/>
      <c r="P138" s="13" t="n"/>
      <c r="Q138" s="11" t="n"/>
      <c r="R138" s="11" t="n"/>
      <c r="S138" s="11" t="n"/>
      <c r="T138" s="12">
        <f>IF(A138&lt;&gt;"SIM","NÃO MARCADA",IF(COUNTA(B138:H138,J138,M138:N138,P138:Q138)&lt;12,"PREENCHER OBRIGATÓRIOS",IF(OR(J138&lt;0,M138&lt;0),"VALOR INVÁLIDO","OK")))</f>
        <v/>
      </c>
    </row>
    <row r="139">
      <c r="A139" s="11" t="inlineStr">
        <is>
          <t>NÃO</t>
        </is>
      </c>
      <c r="B139" s="11" t="n"/>
      <c r="C139" s="11" t="n"/>
      <c r="D139" s="11" t="n"/>
      <c r="E139" s="12">
        <f>IFERROR(VLOOKUP(D139,PRODUTOS!$A:$J,2,FALSE),"")</f>
        <v/>
      </c>
      <c r="F139" s="11" t="n"/>
      <c r="G139" s="13" t="n"/>
      <c r="H139" s="11" t="inlineStr">
        <is>
          <t>DISPONÍVEL</t>
        </is>
      </c>
      <c r="I139" s="14" t="n"/>
      <c r="J139" s="15" t="n"/>
      <c r="K139" s="14">
        <f>IF(J139="","",J139-I139)</f>
        <v/>
      </c>
      <c r="L139" s="12">
        <f>IFERROR(VLOOKUP(D139,PRODUTOS!$A:$J,4,FALSE),"")</f>
        <v/>
      </c>
      <c r="M139" s="16" t="n"/>
      <c r="N139" s="11" t="n"/>
      <c r="O139" s="11" t="n"/>
      <c r="P139" s="13" t="n"/>
      <c r="Q139" s="11" t="n"/>
      <c r="R139" s="11" t="n"/>
      <c r="S139" s="11" t="n"/>
      <c r="T139" s="12">
        <f>IF(A139&lt;&gt;"SIM","NÃO MARCADA",IF(COUNTA(B139:H139,J139,M139:N139,P139:Q139)&lt;12,"PREENCHER OBRIGATÓRIOS",IF(OR(J139&lt;0,M139&lt;0),"VALOR INVÁLIDO","OK")))</f>
        <v/>
      </c>
    </row>
    <row r="140">
      <c r="A140" s="11" t="inlineStr">
        <is>
          <t>NÃO</t>
        </is>
      </c>
      <c r="B140" s="11" t="n"/>
      <c r="C140" s="11" t="n"/>
      <c r="D140" s="11" t="n"/>
      <c r="E140" s="12">
        <f>IFERROR(VLOOKUP(D140,PRODUTOS!$A:$J,2,FALSE),"")</f>
        <v/>
      </c>
      <c r="F140" s="11" t="n"/>
      <c r="G140" s="13" t="n"/>
      <c r="H140" s="11" t="inlineStr">
        <is>
          <t>DISPONÍVEL</t>
        </is>
      </c>
      <c r="I140" s="14" t="n"/>
      <c r="J140" s="15" t="n"/>
      <c r="K140" s="14">
        <f>IF(J140="","",J140-I140)</f>
        <v/>
      </c>
      <c r="L140" s="12">
        <f>IFERROR(VLOOKUP(D140,PRODUTOS!$A:$J,4,FALSE),"")</f>
        <v/>
      </c>
      <c r="M140" s="16" t="n"/>
      <c r="N140" s="11" t="n"/>
      <c r="O140" s="11" t="n"/>
      <c r="P140" s="13" t="n"/>
      <c r="Q140" s="11" t="n"/>
      <c r="R140" s="11" t="n"/>
      <c r="S140" s="11" t="n"/>
      <c r="T140" s="12">
        <f>IF(A140&lt;&gt;"SIM","NÃO MARCADA",IF(COUNTA(B140:H140,J140,M140:N140,P140:Q140)&lt;12,"PREENCHER OBRIGATÓRIOS",IF(OR(J140&lt;0,M140&lt;0),"VALOR INVÁLIDO","OK")))</f>
        <v/>
      </c>
    </row>
    <row r="141">
      <c r="A141" s="11" t="inlineStr">
        <is>
          <t>NÃO</t>
        </is>
      </c>
      <c r="B141" s="11" t="n"/>
      <c r="C141" s="11" t="n"/>
      <c r="D141" s="11" t="n"/>
      <c r="E141" s="12">
        <f>IFERROR(VLOOKUP(D141,PRODUTOS!$A:$J,2,FALSE),"")</f>
        <v/>
      </c>
      <c r="F141" s="11" t="n"/>
      <c r="G141" s="13" t="n"/>
      <c r="H141" s="11" t="inlineStr">
        <is>
          <t>DISPONÍVEL</t>
        </is>
      </c>
      <c r="I141" s="14" t="n"/>
      <c r="J141" s="15" t="n"/>
      <c r="K141" s="14">
        <f>IF(J141="","",J141-I141)</f>
        <v/>
      </c>
      <c r="L141" s="12">
        <f>IFERROR(VLOOKUP(D141,PRODUTOS!$A:$J,4,FALSE),"")</f>
        <v/>
      </c>
      <c r="M141" s="16" t="n"/>
      <c r="N141" s="11" t="n"/>
      <c r="O141" s="11" t="n"/>
      <c r="P141" s="13" t="n"/>
      <c r="Q141" s="11" t="n"/>
      <c r="R141" s="11" t="n"/>
      <c r="S141" s="11" t="n"/>
      <c r="T141" s="12">
        <f>IF(A141&lt;&gt;"SIM","NÃO MARCADA",IF(COUNTA(B141:H141,J141,M141:N141,P141:Q141)&lt;12,"PREENCHER OBRIGATÓRIOS",IF(OR(J141&lt;0,M141&lt;0),"VALOR INVÁLIDO","OK")))</f>
        <v/>
      </c>
    </row>
    <row r="142">
      <c r="A142" s="11" t="inlineStr">
        <is>
          <t>NÃO</t>
        </is>
      </c>
      <c r="B142" s="11" t="n"/>
      <c r="C142" s="11" t="n"/>
      <c r="D142" s="11" t="n"/>
      <c r="E142" s="12">
        <f>IFERROR(VLOOKUP(D142,PRODUTOS!$A:$J,2,FALSE),"")</f>
        <v/>
      </c>
      <c r="F142" s="11" t="n"/>
      <c r="G142" s="13" t="n"/>
      <c r="H142" s="11" t="inlineStr">
        <is>
          <t>DISPONÍVEL</t>
        </is>
      </c>
      <c r="I142" s="14" t="n"/>
      <c r="J142" s="15" t="n"/>
      <c r="K142" s="14">
        <f>IF(J142="","",J142-I142)</f>
        <v/>
      </c>
      <c r="L142" s="12">
        <f>IFERROR(VLOOKUP(D142,PRODUTOS!$A:$J,4,FALSE),"")</f>
        <v/>
      </c>
      <c r="M142" s="16" t="n"/>
      <c r="N142" s="11" t="n"/>
      <c r="O142" s="11" t="n"/>
      <c r="P142" s="13" t="n"/>
      <c r="Q142" s="11" t="n"/>
      <c r="R142" s="11" t="n"/>
      <c r="S142" s="11" t="n"/>
      <c r="T142" s="12">
        <f>IF(A142&lt;&gt;"SIM","NÃO MARCADA",IF(COUNTA(B142:H142,J142,M142:N142,P142:Q142)&lt;12,"PREENCHER OBRIGATÓRIOS",IF(OR(J142&lt;0,M142&lt;0),"VALOR INVÁLIDO","OK")))</f>
        <v/>
      </c>
    </row>
    <row r="143">
      <c r="A143" s="11" t="inlineStr">
        <is>
          <t>NÃO</t>
        </is>
      </c>
      <c r="B143" s="11" t="n"/>
      <c r="C143" s="11" t="n"/>
      <c r="D143" s="11" t="n"/>
      <c r="E143" s="12">
        <f>IFERROR(VLOOKUP(D143,PRODUTOS!$A:$J,2,FALSE),"")</f>
        <v/>
      </c>
      <c r="F143" s="11" t="n"/>
      <c r="G143" s="13" t="n"/>
      <c r="H143" s="11" t="inlineStr">
        <is>
          <t>DISPONÍVEL</t>
        </is>
      </c>
      <c r="I143" s="14" t="n"/>
      <c r="J143" s="15" t="n"/>
      <c r="K143" s="14">
        <f>IF(J143="","",J143-I143)</f>
        <v/>
      </c>
      <c r="L143" s="12">
        <f>IFERROR(VLOOKUP(D143,PRODUTOS!$A:$J,4,FALSE),"")</f>
        <v/>
      </c>
      <c r="M143" s="16" t="n"/>
      <c r="N143" s="11" t="n"/>
      <c r="O143" s="11" t="n"/>
      <c r="P143" s="13" t="n"/>
      <c r="Q143" s="11" t="n"/>
      <c r="R143" s="11" t="n"/>
      <c r="S143" s="11" t="n"/>
      <c r="T143" s="12">
        <f>IF(A143&lt;&gt;"SIM","NÃO MARCADA",IF(COUNTA(B143:H143,J143,M143:N143,P143:Q143)&lt;12,"PREENCHER OBRIGATÓRIOS",IF(OR(J143&lt;0,M143&lt;0),"VALOR INVÁLIDO","OK")))</f>
        <v/>
      </c>
    </row>
    <row r="144">
      <c r="A144" s="11" t="inlineStr">
        <is>
          <t>NÃO</t>
        </is>
      </c>
      <c r="B144" s="11" t="n"/>
      <c r="C144" s="11" t="n"/>
      <c r="D144" s="11" t="n"/>
      <c r="E144" s="12">
        <f>IFERROR(VLOOKUP(D144,PRODUTOS!$A:$J,2,FALSE),"")</f>
        <v/>
      </c>
      <c r="F144" s="11" t="n"/>
      <c r="G144" s="13" t="n"/>
      <c r="H144" s="11" t="inlineStr">
        <is>
          <t>DISPONÍVEL</t>
        </is>
      </c>
      <c r="I144" s="14" t="n"/>
      <c r="J144" s="15" t="n"/>
      <c r="K144" s="14">
        <f>IF(J144="","",J144-I144)</f>
        <v/>
      </c>
      <c r="L144" s="12">
        <f>IFERROR(VLOOKUP(D144,PRODUTOS!$A:$J,4,FALSE),"")</f>
        <v/>
      </c>
      <c r="M144" s="16" t="n"/>
      <c r="N144" s="11" t="n"/>
      <c r="O144" s="11" t="n"/>
      <c r="P144" s="13" t="n"/>
      <c r="Q144" s="11" t="n"/>
      <c r="R144" s="11" t="n"/>
      <c r="S144" s="11" t="n"/>
      <c r="T144" s="12">
        <f>IF(A144&lt;&gt;"SIM","NÃO MARCADA",IF(COUNTA(B144:H144,J144,M144:N144,P144:Q144)&lt;12,"PREENCHER OBRIGATÓRIOS",IF(OR(J144&lt;0,M144&lt;0),"VALOR INVÁLIDO","OK")))</f>
        <v/>
      </c>
    </row>
    <row r="145">
      <c r="A145" s="11" t="inlineStr">
        <is>
          <t>NÃO</t>
        </is>
      </c>
      <c r="B145" s="11" t="n"/>
      <c r="C145" s="11" t="n"/>
      <c r="D145" s="11" t="n"/>
      <c r="E145" s="12">
        <f>IFERROR(VLOOKUP(D145,PRODUTOS!$A:$J,2,FALSE),"")</f>
        <v/>
      </c>
      <c r="F145" s="11" t="n"/>
      <c r="G145" s="13" t="n"/>
      <c r="H145" s="11" t="inlineStr">
        <is>
          <t>DISPONÍVEL</t>
        </is>
      </c>
      <c r="I145" s="14" t="n"/>
      <c r="J145" s="15" t="n"/>
      <c r="K145" s="14">
        <f>IF(J145="","",J145-I145)</f>
        <v/>
      </c>
      <c r="L145" s="12">
        <f>IFERROR(VLOOKUP(D145,PRODUTOS!$A:$J,4,FALSE),"")</f>
        <v/>
      </c>
      <c r="M145" s="16" t="n"/>
      <c r="N145" s="11" t="n"/>
      <c r="O145" s="11" t="n"/>
      <c r="P145" s="13" t="n"/>
      <c r="Q145" s="11" t="n"/>
      <c r="R145" s="11" t="n"/>
      <c r="S145" s="11" t="n"/>
      <c r="T145" s="12">
        <f>IF(A145&lt;&gt;"SIM","NÃO MARCADA",IF(COUNTA(B145:H145,J145,M145:N145,P145:Q145)&lt;12,"PREENCHER OBRIGATÓRIOS",IF(OR(J145&lt;0,M145&lt;0),"VALOR INVÁLIDO","OK")))</f>
        <v/>
      </c>
    </row>
    <row r="146">
      <c r="A146" s="11" t="inlineStr">
        <is>
          <t>NÃO</t>
        </is>
      </c>
      <c r="B146" s="11" t="n"/>
      <c r="C146" s="11" t="n"/>
      <c r="D146" s="11" t="n"/>
      <c r="E146" s="12">
        <f>IFERROR(VLOOKUP(D146,PRODUTOS!$A:$J,2,FALSE),"")</f>
        <v/>
      </c>
      <c r="F146" s="11" t="n"/>
      <c r="G146" s="13" t="n"/>
      <c r="H146" s="11" t="inlineStr">
        <is>
          <t>DISPONÍVEL</t>
        </is>
      </c>
      <c r="I146" s="14" t="n"/>
      <c r="J146" s="15" t="n"/>
      <c r="K146" s="14">
        <f>IF(J146="","",J146-I146)</f>
        <v/>
      </c>
      <c r="L146" s="12">
        <f>IFERROR(VLOOKUP(D146,PRODUTOS!$A:$J,4,FALSE),"")</f>
        <v/>
      </c>
      <c r="M146" s="16" t="n"/>
      <c r="N146" s="11" t="n"/>
      <c r="O146" s="11" t="n"/>
      <c r="P146" s="13" t="n"/>
      <c r="Q146" s="11" t="n"/>
      <c r="R146" s="11" t="n"/>
      <c r="S146" s="11" t="n"/>
      <c r="T146" s="12">
        <f>IF(A146&lt;&gt;"SIM","NÃO MARCADA",IF(COUNTA(B146:H146,J146,M146:N146,P146:Q146)&lt;12,"PREENCHER OBRIGATÓRIOS",IF(OR(J146&lt;0,M146&lt;0),"VALOR INVÁLIDO","OK")))</f>
        <v/>
      </c>
    </row>
    <row r="147">
      <c r="A147" s="11" t="inlineStr">
        <is>
          <t>NÃO</t>
        </is>
      </c>
      <c r="B147" s="11" t="n"/>
      <c r="C147" s="11" t="n"/>
      <c r="D147" s="11" t="n"/>
      <c r="E147" s="12">
        <f>IFERROR(VLOOKUP(D147,PRODUTOS!$A:$J,2,FALSE),"")</f>
        <v/>
      </c>
      <c r="F147" s="11" t="n"/>
      <c r="G147" s="13" t="n"/>
      <c r="H147" s="11" t="inlineStr">
        <is>
          <t>DISPONÍVEL</t>
        </is>
      </c>
      <c r="I147" s="14" t="n"/>
      <c r="J147" s="15" t="n"/>
      <c r="K147" s="14">
        <f>IF(J147="","",J147-I147)</f>
        <v/>
      </c>
      <c r="L147" s="12">
        <f>IFERROR(VLOOKUP(D147,PRODUTOS!$A:$J,4,FALSE),"")</f>
        <v/>
      </c>
      <c r="M147" s="16" t="n"/>
      <c r="N147" s="11" t="n"/>
      <c r="O147" s="11" t="n"/>
      <c r="P147" s="13" t="n"/>
      <c r="Q147" s="11" t="n"/>
      <c r="R147" s="11" t="n"/>
      <c r="S147" s="11" t="n"/>
      <c r="T147" s="12">
        <f>IF(A147&lt;&gt;"SIM","NÃO MARCADA",IF(COUNTA(B147:H147,J147,M147:N147,P147:Q147)&lt;12,"PREENCHER OBRIGATÓRIOS",IF(OR(J147&lt;0,M147&lt;0),"VALOR INVÁLIDO","OK")))</f>
        <v/>
      </c>
    </row>
    <row r="148">
      <c r="A148" s="11" t="inlineStr">
        <is>
          <t>NÃO</t>
        </is>
      </c>
      <c r="B148" s="11" t="n"/>
      <c r="C148" s="11" t="n"/>
      <c r="D148" s="11" t="n"/>
      <c r="E148" s="12">
        <f>IFERROR(VLOOKUP(D148,PRODUTOS!$A:$J,2,FALSE),"")</f>
        <v/>
      </c>
      <c r="F148" s="11" t="n"/>
      <c r="G148" s="13" t="n"/>
      <c r="H148" s="11" t="inlineStr">
        <is>
          <t>DISPONÍVEL</t>
        </is>
      </c>
      <c r="I148" s="14" t="n"/>
      <c r="J148" s="15" t="n"/>
      <c r="K148" s="14">
        <f>IF(J148="","",J148-I148)</f>
        <v/>
      </c>
      <c r="L148" s="12">
        <f>IFERROR(VLOOKUP(D148,PRODUTOS!$A:$J,4,FALSE),"")</f>
        <v/>
      </c>
      <c r="M148" s="16" t="n"/>
      <c r="N148" s="11" t="n"/>
      <c r="O148" s="11" t="n"/>
      <c r="P148" s="13" t="n"/>
      <c r="Q148" s="11" t="n"/>
      <c r="R148" s="11" t="n"/>
      <c r="S148" s="11" t="n"/>
      <c r="T148" s="12">
        <f>IF(A148&lt;&gt;"SIM","NÃO MARCADA",IF(COUNTA(B148:H148,J148,M148:N148,P148:Q148)&lt;12,"PREENCHER OBRIGATÓRIOS",IF(OR(J148&lt;0,M148&lt;0),"VALOR INVÁLIDO","OK")))</f>
        <v/>
      </c>
    </row>
    <row r="149">
      <c r="A149" s="11" t="inlineStr">
        <is>
          <t>NÃO</t>
        </is>
      </c>
      <c r="B149" s="11" t="n"/>
      <c r="C149" s="11" t="n"/>
      <c r="D149" s="11" t="n"/>
      <c r="E149" s="12">
        <f>IFERROR(VLOOKUP(D149,PRODUTOS!$A:$J,2,FALSE),"")</f>
        <v/>
      </c>
      <c r="F149" s="11" t="n"/>
      <c r="G149" s="13" t="n"/>
      <c r="H149" s="11" t="inlineStr">
        <is>
          <t>DISPONÍVEL</t>
        </is>
      </c>
      <c r="I149" s="14" t="n"/>
      <c r="J149" s="15" t="n"/>
      <c r="K149" s="14">
        <f>IF(J149="","",J149-I149)</f>
        <v/>
      </c>
      <c r="L149" s="12">
        <f>IFERROR(VLOOKUP(D149,PRODUTOS!$A:$J,4,FALSE),"")</f>
        <v/>
      </c>
      <c r="M149" s="16" t="n"/>
      <c r="N149" s="11" t="n"/>
      <c r="O149" s="11" t="n"/>
      <c r="P149" s="13" t="n"/>
      <c r="Q149" s="11" t="n"/>
      <c r="R149" s="11" t="n"/>
      <c r="S149" s="11" t="n"/>
      <c r="T149" s="12">
        <f>IF(A149&lt;&gt;"SIM","NÃO MARCADA",IF(COUNTA(B149:H149,J149,M149:N149,P149:Q149)&lt;12,"PREENCHER OBRIGATÓRIOS",IF(OR(J149&lt;0,M149&lt;0),"VALOR INVÁLIDO","OK")))</f>
        <v/>
      </c>
    </row>
    <row r="150">
      <c r="A150" s="11" t="inlineStr">
        <is>
          <t>NÃO</t>
        </is>
      </c>
      <c r="B150" s="11" t="n"/>
      <c r="C150" s="11" t="n"/>
      <c r="D150" s="11" t="n"/>
      <c r="E150" s="12">
        <f>IFERROR(VLOOKUP(D150,PRODUTOS!$A:$J,2,FALSE),"")</f>
        <v/>
      </c>
      <c r="F150" s="11" t="n"/>
      <c r="G150" s="13" t="n"/>
      <c r="H150" s="11" t="inlineStr">
        <is>
          <t>DISPONÍVEL</t>
        </is>
      </c>
      <c r="I150" s="14" t="n"/>
      <c r="J150" s="15" t="n"/>
      <c r="K150" s="14">
        <f>IF(J150="","",J150-I150)</f>
        <v/>
      </c>
      <c r="L150" s="12">
        <f>IFERROR(VLOOKUP(D150,PRODUTOS!$A:$J,4,FALSE),"")</f>
        <v/>
      </c>
      <c r="M150" s="16" t="n"/>
      <c r="N150" s="11" t="n"/>
      <c r="O150" s="11" t="n"/>
      <c r="P150" s="13" t="n"/>
      <c r="Q150" s="11" t="n"/>
      <c r="R150" s="11" t="n"/>
      <c r="S150" s="11" t="n"/>
      <c r="T150" s="12">
        <f>IF(A150&lt;&gt;"SIM","NÃO MARCADA",IF(COUNTA(B150:H150,J150,M150:N150,P150:Q150)&lt;12,"PREENCHER OBRIGATÓRIOS",IF(OR(J150&lt;0,M150&lt;0),"VALOR INVÁLIDO","OK")))</f>
        <v/>
      </c>
    </row>
    <row r="151">
      <c r="A151" s="11" t="inlineStr">
        <is>
          <t>NÃO</t>
        </is>
      </c>
      <c r="B151" s="11" t="n"/>
      <c r="C151" s="11" t="n"/>
      <c r="D151" s="11" t="n"/>
      <c r="E151" s="12">
        <f>IFERROR(VLOOKUP(D151,PRODUTOS!$A:$J,2,FALSE),"")</f>
        <v/>
      </c>
      <c r="F151" s="11" t="n"/>
      <c r="G151" s="13" t="n"/>
      <c r="H151" s="11" t="inlineStr">
        <is>
          <t>DISPONÍVEL</t>
        </is>
      </c>
      <c r="I151" s="14" t="n"/>
      <c r="J151" s="15" t="n"/>
      <c r="K151" s="14">
        <f>IF(J151="","",J151-I151)</f>
        <v/>
      </c>
      <c r="L151" s="12">
        <f>IFERROR(VLOOKUP(D151,PRODUTOS!$A:$J,4,FALSE),"")</f>
        <v/>
      </c>
      <c r="M151" s="16" t="n"/>
      <c r="N151" s="11" t="n"/>
      <c r="O151" s="11" t="n"/>
      <c r="P151" s="13" t="n"/>
      <c r="Q151" s="11" t="n"/>
      <c r="R151" s="11" t="n"/>
      <c r="S151" s="11" t="n"/>
      <c r="T151" s="12">
        <f>IF(A151&lt;&gt;"SIM","NÃO MARCADA",IF(COUNTA(B151:H151,J151,M151:N151,P151:Q151)&lt;12,"PREENCHER OBRIGATÓRIOS",IF(OR(J151&lt;0,M151&lt;0),"VALOR INVÁLIDO","OK")))</f>
        <v/>
      </c>
    </row>
    <row r="152">
      <c r="A152" s="11" t="inlineStr">
        <is>
          <t>NÃO</t>
        </is>
      </c>
      <c r="B152" s="11" t="n"/>
      <c r="C152" s="11" t="n"/>
      <c r="D152" s="11" t="n"/>
      <c r="E152" s="12">
        <f>IFERROR(VLOOKUP(D152,PRODUTOS!$A:$J,2,FALSE),"")</f>
        <v/>
      </c>
      <c r="F152" s="11" t="n"/>
      <c r="G152" s="13" t="n"/>
      <c r="H152" s="11" t="inlineStr">
        <is>
          <t>DISPONÍVEL</t>
        </is>
      </c>
      <c r="I152" s="14" t="n"/>
      <c r="J152" s="15" t="n"/>
      <c r="K152" s="14">
        <f>IF(J152="","",J152-I152)</f>
        <v/>
      </c>
      <c r="L152" s="12">
        <f>IFERROR(VLOOKUP(D152,PRODUTOS!$A:$J,4,FALSE),"")</f>
        <v/>
      </c>
      <c r="M152" s="16" t="n"/>
      <c r="N152" s="11" t="n"/>
      <c r="O152" s="11" t="n"/>
      <c r="P152" s="13" t="n"/>
      <c r="Q152" s="11" t="n"/>
      <c r="R152" s="11" t="n"/>
      <c r="S152" s="11" t="n"/>
      <c r="T152" s="12">
        <f>IF(A152&lt;&gt;"SIM","NÃO MARCADA",IF(COUNTA(B152:H152,J152,M152:N152,P152:Q152)&lt;12,"PREENCHER OBRIGATÓRIOS",IF(OR(J152&lt;0,M152&lt;0),"VALOR INVÁLIDO","OK")))</f>
        <v/>
      </c>
    </row>
    <row r="153">
      <c r="A153" s="11" t="inlineStr">
        <is>
          <t>NÃO</t>
        </is>
      </c>
      <c r="B153" s="11" t="n"/>
      <c r="C153" s="11" t="n"/>
      <c r="D153" s="11" t="n"/>
      <c r="E153" s="12">
        <f>IFERROR(VLOOKUP(D153,PRODUTOS!$A:$J,2,FALSE),"")</f>
        <v/>
      </c>
      <c r="F153" s="11" t="n"/>
      <c r="G153" s="13" t="n"/>
      <c r="H153" s="11" t="inlineStr">
        <is>
          <t>DISPONÍVEL</t>
        </is>
      </c>
      <c r="I153" s="14" t="n"/>
      <c r="J153" s="15" t="n"/>
      <c r="K153" s="14">
        <f>IF(J153="","",J153-I153)</f>
        <v/>
      </c>
      <c r="L153" s="12">
        <f>IFERROR(VLOOKUP(D153,PRODUTOS!$A:$J,4,FALSE),"")</f>
        <v/>
      </c>
      <c r="M153" s="16" t="n"/>
      <c r="N153" s="11" t="n"/>
      <c r="O153" s="11" t="n"/>
      <c r="P153" s="13" t="n"/>
      <c r="Q153" s="11" t="n"/>
      <c r="R153" s="11" t="n"/>
      <c r="S153" s="11" t="n"/>
      <c r="T153" s="12">
        <f>IF(A153&lt;&gt;"SIM","NÃO MARCADA",IF(COUNTA(B153:H153,J153,M153:N153,P153:Q153)&lt;12,"PREENCHER OBRIGATÓRIOS",IF(OR(J153&lt;0,M153&lt;0),"VALOR INVÁLIDO","OK")))</f>
        <v/>
      </c>
    </row>
    <row r="154">
      <c r="A154" s="11" t="inlineStr">
        <is>
          <t>NÃO</t>
        </is>
      </c>
      <c r="B154" s="11" t="n"/>
      <c r="C154" s="11" t="n"/>
      <c r="D154" s="11" t="n"/>
      <c r="E154" s="12">
        <f>IFERROR(VLOOKUP(D154,PRODUTOS!$A:$J,2,FALSE),"")</f>
        <v/>
      </c>
      <c r="F154" s="11" t="n"/>
      <c r="G154" s="13" t="n"/>
      <c r="H154" s="11" t="inlineStr">
        <is>
          <t>DISPONÍVEL</t>
        </is>
      </c>
      <c r="I154" s="14" t="n"/>
      <c r="J154" s="15" t="n"/>
      <c r="K154" s="14">
        <f>IF(J154="","",J154-I154)</f>
        <v/>
      </c>
      <c r="L154" s="12">
        <f>IFERROR(VLOOKUP(D154,PRODUTOS!$A:$J,4,FALSE),"")</f>
        <v/>
      </c>
      <c r="M154" s="16" t="n"/>
      <c r="N154" s="11" t="n"/>
      <c r="O154" s="11" t="n"/>
      <c r="P154" s="13" t="n"/>
      <c r="Q154" s="11" t="n"/>
      <c r="R154" s="11" t="n"/>
      <c r="S154" s="11" t="n"/>
      <c r="T154" s="12">
        <f>IF(A154&lt;&gt;"SIM","NÃO MARCADA",IF(COUNTA(B154:H154,J154,M154:N154,P154:Q154)&lt;12,"PREENCHER OBRIGATÓRIOS",IF(OR(J154&lt;0,M154&lt;0),"VALOR INVÁLIDO","OK")))</f>
        <v/>
      </c>
    </row>
    <row r="155">
      <c r="A155" s="11" t="inlineStr">
        <is>
          <t>NÃO</t>
        </is>
      </c>
      <c r="B155" s="11" t="n"/>
      <c r="C155" s="11" t="n"/>
      <c r="D155" s="11" t="n"/>
      <c r="E155" s="12">
        <f>IFERROR(VLOOKUP(D155,PRODUTOS!$A:$J,2,FALSE),"")</f>
        <v/>
      </c>
      <c r="F155" s="11" t="n"/>
      <c r="G155" s="13" t="n"/>
      <c r="H155" s="11" t="inlineStr">
        <is>
          <t>DISPONÍVEL</t>
        </is>
      </c>
      <c r="I155" s="14" t="n"/>
      <c r="J155" s="15" t="n"/>
      <c r="K155" s="14">
        <f>IF(J155="","",J155-I155)</f>
        <v/>
      </c>
      <c r="L155" s="12">
        <f>IFERROR(VLOOKUP(D155,PRODUTOS!$A:$J,4,FALSE),"")</f>
        <v/>
      </c>
      <c r="M155" s="16" t="n"/>
      <c r="N155" s="11" t="n"/>
      <c r="O155" s="11" t="n"/>
      <c r="P155" s="13" t="n"/>
      <c r="Q155" s="11" t="n"/>
      <c r="R155" s="11" t="n"/>
      <c r="S155" s="11" t="n"/>
      <c r="T155" s="12">
        <f>IF(A155&lt;&gt;"SIM","NÃO MARCADA",IF(COUNTA(B155:H155,J155,M155:N155,P155:Q155)&lt;12,"PREENCHER OBRIGATÓRIOS",IF(OR(J155&lt;0,M155&lt;0),"VALOR INVÁLIDO","OK")))</f>
        <v/>
      </c>
    </row>
    <row r="156">
      <c r="A156" s="11" t="inlineStr">
        <is>
          <t>NÃO</t>
        </is>
      </c>
      <c r="B156" s="11" t="n"/>
      <c r="C156" s="11" t="n"/>
      <c r="D156" s="11" t="n"/>
      <c r="E156" s="12">
        <f>IFERROR(VLOOKUP(D156,PRODUTOS!$A:$J,2,FALSE),"")</f>
        <v/>
      </c>
      <c r="F156" s="11" t="n"/>
      <c r="G156" s="13" t="n"/>
      <c r="H156" s="11" t="inlineStr">
        <is>
          <t>DISPONÍVEL</t>
        </is>
      </c>
      <c r="I156" s="14" t="n"/>
      <c r="J156" s="15" t="n"/>
      <c r="K156" s="14">
        <f>IF(J156="","",J156-I156)</f>
        <v/>
      </c>
      <c r="L156" s="12">
        <f>IFERROR(VLOOKUP(D156,PRODUTOS!$A:$J,4,FALSE),"")</f>
        <v/>
      </c>
      <c r="M156" s="16" t="n"/>
      <c r="N156" s="11" t="n"/>
      <c r="O156" s="11" t="n"/>
      <c r="P156" s="13" t="n"/>
      <c r="Q156" s="11" t="n"/>
      <c r="R156" s="11" t="n"/>
      <c r="S156" s="11" t="n"/>
      <c r="T156" s="12">
        <f>IF(A156&lt;&gt;"SIM","NÃO MARCADA",IF(COUNTA(B156:H156,J156,M156:N156,P156:Q156)&lt;12,"PREENCHER OBRIGATÓRIOS",IF(OR(J156&lt;0,M156&lt;0),"VALOR INVÁLIDO","OK")))</f>
        <v/>
      </c>
    </row>
    <row r="157">
      <c r="A157" s="11" t="inlineStr">
        <is>
          <t>NÃO</t>
        </is>
      </c>
      <c r="B157" s="11" t="n"/>
      <c r="C157" s="11" t="n"/>
      <c r="D157" s="11" t="n"/>
      <c r="E157" s="12">
        <f>IFERROR(VLOOKUP(D157,PRODUTOS!$A:$J,2,FALSE),"")</f>
        <v/>
      </c>
      <c r="F157" s="11" t="n"/>
      <c r="G157" s="13" t="n"/>
      <c r="H157" s="11" t="inlineStr">
        <is>
          <t>DISPONÍVEL</t>
        </is>
      </c>
      <c r="I157" s="14" t="n"/>
      <c r="J157" s="15" t="n"/>
      <c r="K157" s="14">
        <f>IF(J157="","",J157-I157)</f>
        <v/>
      </c>
      <c r="L157" s="12">
        <f>IFERROR(VLOOKUP(D157,PRODUTOS!$A:$J,4,FALSE),"")</f>
        <v/>
      </c>
      <c r="M157" s="16" t="n"/>
      <c r="N157" s="11" t="n"/>
      <c r="O157" s="11" t="n"/>
      <c r="P157" s="13" t="n"/>
      <c r="Q157" s="11" t="n"/>
      <c r="R157" s="11" t="n"/>
      <c r="S157" s="11" t="n"/>
      <c r="T157" s="12">
        <f>IF(A157&lt;&gt;"SIM","NÃO MARCADA",IF(COUNTA(B157:H157,J157,M157:N157,P157:Q157)&lt;12,"PREENCHER OBRIGATÓRIOS",IF(OR(J157&lt;0,M157&lt;0),"VALOR INVÁLIDO","OK")))</f>
        <v/>
      </c>
    </row>
    <row r="158">
      <c r="A158" s="11" t="inlineStr">
        <is>
          <t>NÃO</t>
        </is>
      </c>
      <c r="B158" s="11" t="n"/>
      <c r="C158" s="11" t="n"/>
      <c r="D158" s="11" t="n"/>
      <c r="E158" s="12">
        <f>IFERROR(VLOOKUP(D158,PRODUTOS!$A:$J,2,FALSE),"")</f>
        <v/>
      </c>
      <c r="F158" s="11" t="n"/>
      <c r="G158" s="13" t="n"/>
      <c r="H158" s="11" t="inlineStr">
        <is>
          <t>DISPONÍVEL</t>
        </is>
      </c>
      <c r="I158" s="14" t="n"/>
      <c r="J158" s="15" t="n"/>
      <c r="K158" s="14">
        <f>IF(J158="","",J158-I158)</f>
        <v/>
      </c>
      <c r="L158" s="12">
        <f>IFERROR(VLOOKUP(D158,PRODUTOS!$A:$J,4,FALSE),"")</f>
        <v/>
      </c>
      <c r="M158" s="16" t="n"/>
      <c r="N158" s="11" t="n"/>
      <c r="O158" s="11" t="n"/>
      <c r="P158" s="13" t="n"/>
      <c r="Q158" s="11" t="n"/>
      <c r="R158" s="11" t="n"/>
      <c r="S158" s="11" t="n"/>
      <c r="T158" s="12">
        <f>IF(A158&lt;&gt;"SIM","NÃO MARCADA",IF(COUNTA(B158:H158,J158,M158:N158,P158:Q158)&lt;12,"PREENCHER OBRIGATÓRIOS",IF(OR(J158&lt;0,M158&lt;0),"VALOR INVÁLIDO","OK")))</f>
        <v/>
      </c>
    </row>
    <row r="159">
      <c r="A159" s="11" t="inlineStr">
        <is>
          <t>NÃO</t>
        </is>
      </c>
      <c r="B159" s="11" t="n"/>
      <c r="C159" s="11" t="n"/>
      <c r="D159" s="11" t="n"/>
      <c r="E159" s="12">
        <f>IFERROR(VLOOKUP(D159,PRODUTOS!$A:$J,2,FALSE),"")</f>
        <v/>
      </c>
      <c r="F159" s="11" t="n"/>
      <c r="G159" s="13" t="n"/>
      <c r="H159" s="11" t="inlineStr">
        <is>
          <t>DISPONÍVEL</t>
        </is>
      </c>
      <c r="I159" s="14" t="n"/>
      <c r="J159" s="15" t="n"/>
      <c r="K159" s="14">
        <f>IF(J159="","",J159-I159)</f>
        <v/>
      </c>
      <c r="L159" s="12">
        <f>IFERROR(VLOOKUP(D159,PRODUTOS!$A:$J,4,FALSE),"")</f>
        <v/>
      </c>
      <c r="M159" s="16" t="n"/>
      <c r="N159" s="11" t="n"/>
      <c r="O159" s="11" t="n"/>
      <c r="P159" s="13" t="n"/>
      <c r="Q159" s="11" t="n"/>
      <c r="R159" s="11" t="n"/>
      <c r="S159" s="11" t="n"/>
      <c r="T159" s="12">
        <f>IF(A159&lt;&gt;"SIM","NÃO MARCADA",IF(COUNTA(B159:H159,J159,M159:N159,P159:Q159)&lt;12,"PREENCHER OBRIGATÓRIOS",IF(OR(J159&lt;0,M159&lt;0),"VALOR INVÁLIDO","OK")))</f>
        <v/>
      </c>
    </row>
    <row r="160">
      <c r="A160" s="11" t="inlineStr">
        <is>
          <t>NÃO</t>
        </is>
      </c>
      <c r="B160" s="11" t="n"/>
      <c r="C160" s="11" t="n"/>
      <c r="D160" s="11" t="n"/>
      <c r="E160" s="12">
        <f>IFERROR(VLOOKUP(D160,PRODUTOS!$A:$J,2,FALSE),"")</f>
        <v/>
      </c>
      <c r="F160" s="11" t="n"/>
      <c r="G160" s="13" t="n"/>
      <c r="H160" s="11" t="inlineStr">
        <is>
          <t>DISPONÍVEL</t>
        </is>
      </c>
      <c r="I160" s="14" t="n"/>
      <c r="J160" s="15" t="n"/>
      <c r="K160" s="14">
        <f>IF(J160="","",J160-I160)</f>
        <v/>
      </c>
      <c r="L160" s="12">
        <f>IFERROR(VLOOKUP(D160,PRODUTOS!$A:$J,4,FALSE),"")</f>
        <v/>
      </c>
      <c r="M160" s="16" t="n"/>
      <c r="N160" s="11" t="n"/>
      <c r="O160" s="11" t="n"/>
      <c r="P160" s="13" t="n"/>
      <c r="Q160" s="11" t="n"/>
      <c r="R160" s="11" t="n"/>
      <c r="S160" s="11" t="n"/>
      <c r="T160" s="12">
        <f>IF(A160&lt;&gt;"SIM","NÃO MARCADA",IF(COUNTA(B160:H160,J160,M160:N160,P160:Q160)&lt;12,"PREENCHER OBRIGATÓRIOS",IF(OR(J160&lt;0,M160&lt;0),"VALOR INVÁLIDO","OK")))</f>
        <v/>
      </c>
    </row>
    <row r="161">
      <c r="A161" s="11" t="inlineStr">
        <is>
          <t>NÃO</t>
        </is>
      </c>
      <c r="B161" s="11" t="n"/>
      <c r="C161" s="11" t="n"/>
      <c r="D161" s="11" t="n"/>
      <c r="E161" s="12">
        <f>IFERROR(VLOOKUP(D161,PRODUTOS!$A:$J,2,FALSE),"")</f>
        <v/>
      </c>
      <c r="F161" s="11" t="n"/>
      <c r="G161" s="13" t="n"/>
      <c r="H161" s="11" t="inlineStr">
        <is>
          <t>DISPONÍVEL</t>
        </is>
      </c>
      <c r="I161" s="14" t="n"/>
      <c r="J161" s="15" t="n"/>
      <c r="K161" s="14">
        <f>IF(J161="","",J161-I161)</f>
        <v/>
      </c>
      <c r="L161" s="12">
        <f>IFERROR(VLOOKUP(D161,PRODUTOS!$A:$J,4,FALSE),"")</f>
        <v/>
      </c>
      <c r="M161" s="16" t="n"/>
      <c r="N161" s="11" t="n"/>
      <c r="O161" s="11" t="n"/>
      <c r="P161" s="13" t="n"/>
      <c r="Q161" s="11" t="n"/>
      <c r="R161" s="11" t="n"/>
      <c r="S161" s="11" t="n"/>
      <c r="T161" s="12">
        <f>IF(A161&lt;&gt;"SIM","NÃO MARCADA",IF(COUNTA(B161:H161,J161,M161:N161,P161:Q161)&lt;12,"PREENCHER OBRIGATÓRIOS",IF(OR(J161&lt;0,M161&lt;0),"VALOR INVÁLIDO","OK")))</f>
        <v/>
      </c>
    </row>
    <row r="162">
      <c r="A162" s="11" t="inlineStr">
        <is>
          <t>NÃO</t>
        </is>
      </c>
      <c r="B162" s="11" t="n"/>
      <c r="C162" s="11" t="n"/>
      <c r="D162" s="11" t="n"/>
      <c r="E162" s="12">
        <f>IFERROR(VLOOKUP(D162,PRODUTOS!$A:$J,2,FALSE),"")</f>
        <v/>
      </c>
      <c r="F162" s="11" t="n"/>
      <c r="G162" s="13" t="n"/>
      <c r="H162" s="11" t="inlineStr">
        <is>
          <t>DISPONÍVEL</t>
        </is>
      </c>
      <c r="I162" s="14" t="n"/>
      <c r="J162" s="15" t="n"/>
      <c r="K162" s="14">
        <f>IF(J162="","",J162-I162)</f>
        <v/>
      </c>
      <c r="L162" s="12">
        <f>IFERROR(VLOOKUP(D162,PRODUTOS!$A:$J,4,FALSE),"")</f>
        <v/>
      </c>
      <c r="M162" s="16" t="n"/>
      <c r="N162" s="11" t="n"/>
      <c r="O162" s="11" t="n"/>
      <c r="P162" s="13" t="n"/>
      <c r="Q162" s="11" t="n"/>
      <c r="R162" s="11" t="n"/>
      <c r="S162" s="11" t="n"/>
      <c r="T162" s="12">
        <f>IF(A162&lt;&gt;"SIM","NÃO MARCADA",IF(COUNTA(B162:H162,J162,M162:N162,P162:Q162)&lt;12,"PREENCHER OBRIGATÓRIOS",IF(OR(J162&lt;0,M162&lt;0),"VALOR INVÁLIDO","OK")))</f>
        <v/>
      </c>
    </row>
    <row r="163">
      <c r="A163" s="11" t="inlineStr">
        <is>
          <t>NÃO</t>
        </is>
      </c>
      <c r="B163" s="11" t="n"/>
      <c r="C163" s="11" t="n"/>
      <c r="D163" s="11" t="n"/>
      <c r="E163" s="12">
        <f>IFERROR(VLOOKUP(D163,PRODUTOS!$A:$J,2,FALSE),"")</f>
        <v/>
      </c>
      <c r="F163" s="11" t="n"/>
      <c r="G163" s="13" t="n"/>
      <c r="H163" s="11" t="inlineStr">
        <is>
          <t>DISPONÍVEL</t>
        </is>
      </c>
      <c r="I163" s="14" t="n"/>
      <c r="J163" s="15" t="n"/>
      <c r="K163" s="14">
        <f>IF(J163="","",J163-I163)</f>
        <v/>
      </c>
      <c r="L163" s="12">
        <f>IFERROR(VLOOKUP(D163,PRODUTOS!$A:$J,4,FALSE),"")</f>
        <v/>
      </c>
      <c r="M163" s="16" t="n"/>
      <c r="N163" s="11" t="n"/>
      <c r="O163" s="11" t="n"/>
      <c r="P163" s="13" t="n"/>
      <c r="Q163" s="11" t="n"/>
      <c r="R163" s="11" t="n"/>
      <c r="S163" s="11" t="n"/>
      <c r="T163" s="12">
        <f>IF(A163&lt;&gt;"SIM","NÃO MARCADA",IF(COUNTA(B163:H163,J163,M163:N163,P163:Q163)&lt;12,"PREENCHER OBRIGATÓRIOS",IF(OR(J163&lt;0,M163&lt;0),"VALOR INVÁLIDO","OK")))</f>
        <v/>
      </c>
    </row>
    <row r="164">
      <c r="A164" s="11" t="inlineStr">
        <is>
          <t>NÃO</t>
        </is>
      </c>
      <c r="B164" s="11" t="n"/>
      <c r="C164" s="11" t="n"/>
      <c r="D164" s="11" t="n"/>
      <c r="E164" s="12">
        <f>IFERROR(VLOOKUP(D164,PRODUTOS!$A:$J,2,FALSE),"")</f>
        <v/>
      </c>
      <c r="F164" s="11" t="n"/>
      <c r="G164" s="13" t="n"/>
      <c r="H164" s="11" t="inlineStr">
        <is>
          <t>DISPONÍVEL</t>
        </is>
      </c>
      <c r="I164" s="14" t="n"/>
      <c r="J164" s="15" t="n"/>
      <c r="K164" s="14">
        <f>IF(J164="","",J164-I164)</f>
        <v/>
      </c>
      <c r="L164" s="12">
        <f>IFERROR(VLOOKUP(D164,PRODUTOS!$A:$J,4,FALSE),"")</f>
        <v/>
      </c>
      <c r="M164" s="16" t="n"/>
      <c r="N164" s="11" t="n"/>
      <c r="O164" s="11" t="n"/>
      <c r="P164" s="13" t="n"/>
      <c r="Q164" s="11" t="n"/>
      <c r="R164" s="11" t="n"/>
      <c r="S164" s="11" t="n"/>
      <c r="T164" s="12">
        <f>IF(A164&lt;&gt;"SIM","NÃO MARCADA",IF(COUNTA(B164:H164,J164,M164:N164,P164:Q164)&lt;12,"PREENCHER OBRIGATÓRIOS",IF(OR(J164&lt;0,M164&lt;0),"VALOR INVÁLIDO","OK")))</f>
        <v/>
      </c>
    </row>
    <row r="165">
      <c r="A165" s="11" t="inlineStr">
        <is>
          <t>NÃO</t>
        </is>
      </c>
      <c r="B165" s="11" t="n"/>
      <c r="C165" s="11" t="n"/>
      <c r="D165" s="11" t="n"/>
      <c r="E165" s="12">
        <f>IFERROR(VLOOKUP(D165,PRODUTOS!$A:$J,2,FALSE),"")</f>
        <v/>
      </c>
      <c r="F165" s="11" t="n"/>
      <c r="G165" s="13" t="n"/>
      <c r="H165" s="11" t="inlineStr">
        <is>
          <t>DISPONÍVEL</t>
        </is>
      </c>
      <c r="I165" s="14" t="n"/>
      <c r="J165" s="15" t="n"/>
      <c r="K165" s="14">
        <f>IF(J165="","",J165-I165)</f>
        <v/>
      </c>
      <c r="L165" s="12">
        <f>IFERROR(VLOOKUP(D165,PRODUTOS!$A:$J,4,FALSE),"")</f>
        <v/>
      </c>
      <c r="M165" s="16" t="n"/>
      <c r="N165" s="11" t="n"/>
      <c r="O165" s="11" t="n"/>
      <c r="P165" s="13" t="n"/>
      <c r="Q165" s="11" t="n"/>
      <c r="R165" s="11" t="n"/>
      <c r="S165" s="11" t="n"/>
      <c r="T165" s="12">
        <f>IF(A165&lt;&gt;"SIM","NÃO MARCADA",IF(COUNTA(B165:H165,J165,M165:N165,P165:Q165)&lt;12,"PREENCHER OBRIGATÓRIOS",IF(OR(J165&lt;0,M165&lt;0),"VALOR INVÁLIDO","OK")))</f>
        <v/>
      </c>
    </row>
    <row r="166">
      <c r="A166" s="11" t="inlineStr">
        <is>
          <t>NÃO</t>
        </is>
      </c>
      <c r="B166" s="11" t="n"/>
      <c r="C166" s="11" t="n"/>
      <c r="D166" s="11" t="n"/>
      <c r="E166" s="12">
        <f>IFERROR(VLOOKUP(D166,PRODUTOS!$A:$J,2,FALSE),"")</f>
        <v/>
      </c>
      <c r="F166" s="11" t="n"/>
      <c r="G166" s="13" t="n"/>
      <c r="H166" s="11" t="inlineStr">
        <is>
          <t>DISPONÍVEL</t>
        </is>
      </c>
      <c r="I166" s="14" t="n"/>
      <c r="J166" s="15" t="n"/>
      <c r="K166" s="14">
        <f>IF(J166="","",J166-I166)</f>
        <v/>
      </c>
      <c r="L166" s="12">
        <f>IFERROR(VLOOKUP(D166,PRODUTOS!$A:$J,4,FALSE),"")</f>
        <v/>
      </c>
      <c r="M166" s="16" t="n"/>
      <c r="N166" s="11" t="n"/>
      <c r="O166" s="11" t="n"/>
      <c r="P166" s="13" t="n"/>
      <c r="Q166" s="11" t="n"/>
      <c r="R166" s="11" t="n"/>
      <c r="S166" s="11" t="n"/>
      <c r="T166" s="12">
        <f>IF(A166&lt;&gt;"SIM","NÃO MARCADA",IF(COUNTA(B166:H166,J166,M166:N166,P166:Q166)&lt;12,"PREENCHER OBRIGATÓRIOS",IF(OR(J166&lt;0,M166&lt;0),"VALOR INVÁLIDO","OK")))</f>
        <v/>
      </c>
    </row>
    <row r="167">
      <c r="A167" s="11" t="inlineStr">
        <is>
          <t>NÃO</t>
        </is>
      </c>
      <c r="B167" s="11" t="n"/>
      <c r="C167" s="11" t="n"/>
      <c r="D167" s="11" t="n"/>
      <c r="E167" s="12">
        <f>IFERROR(VLOOKUP(D167,PRODUTOS!$A:$J,2,FALSE),"")</f>
        <v/>
      </c>
      <c r="F167" s="11" t="n"/>
      <c r="G167" s="13" t="n"/>
      <c r="H167" s="11" t="inlineStr">
        <is>
          <t>DISPONÍVEL</t>
        </is>
      </c>
      <c r="I167" s="14" t="n"/>
      <c r="J167" s="15" t="n"/>
      <c r="K167" s="14">
        <f>IF(J167="","",J167-I167)</f>
        <v/>
      </c>
      <c r="L167" s="12">
        <f>IFERROR(VLOOKUP(D167,PRODUTOS!$A:$J,4,FALSE),"")</f>
        <v/>
      </c>
      <c r="M167" s="16" t="n"/>
      <c r="N167" s="11" t="n"/>
      <c r="O167" s="11" t="n"/>
      <c r="P167" s="13" t="n"/>
      <c r="Q167" s="11" t="n"/>
      <c r="R167" s="11" t="n"/>
      <c r="S167" s="11" t="n"/>
      <c r="T167" s="12">
        <f>IF(A167&lt;&gt;"SIM","NÃO MARCADA",IF(COUNTA(B167:H167,J167,M167:N167,P167:Q167)&lt;12,"PREENCHER OBRIGATÓRIOS",IF(OR(J167&lt;0,M167&lt;0),"VALOR INVÁLIDO","OK")))</f>
        <v/>
      </c>
    </row>
    <row r="168">
      <c r="A168" s="11" t="inlineStr">
        <is>
          <t>NÃO</t>
        </is>
      </c>
      <c r="B168" s="11" t="n"/>
      <c r="C168" s="11" t="n"/>
      <c r="D168" s="11" t="n"/>
      <c r="E168" s="12">
        <f>IFERROR(VLOOKUP(D168,PRODUTOS!$A:$J,2,FALSE),"")</f>
        <v/>
      </c>
      <c r="F168" s="11" t="n"/>
      <c r="G168" s="13" t="n"/>
      <c r="H168" s="11" t="inlineStr">
        <is>
          <t>DISPONÍVEL</t>
        </is>
      </c>
      <c r="I168" s="14" t="n"/>
      <c r="J168" s="15" t="n"/>
      <c r="K168" s="14">
        <f>IF(J168="","",J168-I168)</f>
        <v/>
      </c>
      <c r="L168" s="12">
        <f>IFERROR(VLOOKUP(D168,PRODUTOS!$A:$J,4,FALSE),"")</f>
        <v/>
      </c>
      <c r="M168" s="16" t="n"/>
      <c r="N168" s="11" t="n"/>
      <c r="O168" s="11" t="n"/>
      <c r="P168" s="13" t="n"/>
      <c r="Q168" s="11" t="n"/>
      <c r="R168" s="11" t="n"/>
      <c r="S168" s="11" t="n"/>
      <c r="T168" s="12">
        <f>IF(A168&lt;&gt;"SIM","NÃO MARCADA",IF(COUNTA(B168:H168,J168,M168:N168,P168:Q168)&lt;12,"PREENCHER OBRIGATÓRIOS",IF(OR(J168&lt;0,M168&lt;0),"VALOR INVÁLIDO","OK")))</f>
        <v/>
      </c>
    </row>
    <row r="169">
      <c r="A169" s="11" t="inlineStr">
        <is>
          <t>NÃO</t>
        </is>
      </c>
      <c r="B169" s="11" t="n"/>
      <c r="C169" s="11" t="n"/>
      <c r="D169" s="11" t="n"/>
      <c r="E169" s="12">
        <f>IFERROR(VLOOKUP(D169,PRODUTOS!$A:$J,2,FALSE),"")</f>
        <v/>
      </c>
      <c r="F169" s="11" t="n"/>
      <c r="G169" s="13" t="n"/>
      <c r="H169" s="11" t="inlineStr">
        <is>
          <t>DISPONÍVEL</t>
        </is>
      </c>
      <c r="I169" s="14" t="n"/>
      <c r="J169" s="15" t="n"/>
      <c r="K169" s="14">
        <f>IF(J169="","",J169-I169)</f>
        <v/>
      </c>
      <c r="L169" s="12">
        <f>IFERROR(VLOOKUP(D169,PRODUTOS!$A:$J,4,FALSE),"")</f>
        <v/>
      </c>
      <c r="M169" s="16" t="n"/>
      <c r="N169" s="11" t="n"/>
      <c r="O169" s="11" t="n"/>
      <c r="P169" s="13" t="n"/>
      <c r="Q169" s="11" t="n"/>
      <c r="R169" s="11" t="n"/>
      <c r="S169" s="11" t="n"/>
      <c r="T169" s="12">
        <f>IF(A169&lt;&gt;"SIM","NÃO MARCADA",IF(COUNTA(B169:H169,J169,M169:N169,P169:Q169)&lt;12,"PREENCHER OBRIGATÓRIOS",IF(OR(J169&lt;0,M169&lt;0),"VALOR INVÁLIDO","OK")))</f>
        <v/>
      </c>
    </row>
    <row r="170">
      <c r="A170" s="11" t="inlineStr">
        <is>
          <t>NÃO</t>
        </is>
      </c>
      <c r="B170" s="11" t="n"/>
      <c r="C170" s="11" t="n"/>
      <c r="D170" s="11" t="n"/>
      <c r="E170" s="12">
        <f>IFERROR(VLOOKUP(D170,PRODUTOS!$A:$J,2,FALSE),"")</f>
        <v/>
      </c>
      <c r="F170" s="11" t="n"/>
      <c r="G170" s="13" t="n"/>
      <c r="H170" s="11" t="inlineStr">
        <is>
          <t>DISPONÍVEL</t>
        </is>
      </c>
      <c r="I170" s="14" t="n"/>
      <c r="J170" s="15" t="n"/>
      <c r="K170" s="14">
        <f>IF(J170="","",J170-I170)</f>
        <v/>
      </c>
      <c r="L170" s="12">
        <f>IFERROR(VLOOKUP(D170,PRODUTOS!$A:$J,4,FALSE),"")</f>
        <v/>
      </c>
      <c r="M170" s="16" t="n"/>
      <c r="N170" s="11" t="n"/>
      <c r="O170" s="11" t="n"/>
      <c r="P170" s="13" t="n"/>
      <c r="Q170" s="11" t="n"/>
      <c r="R170" s="11" t="n"/>
      <c r="S170" s="11" t="n"/>
      <c r="T170" s="12">
        <f>IF(A170&lt;&gt;"SIM","NÃO MARCADA",IF(COUNTA(B170:H170,J170,M170:N170,P170:Q170)&lt;12,"PREENCHER OBRIGATÓRIOS",IF(OR(J170&lt;0,M170&lt;0),"VALOR INVÁLIDO","OK")))</f>
        <v/>
      </c>
    </row>
    <row r="171">
      <c r="A171" s="11" t="inlineStr">
        <is>
          <t>NÃO</t>
        </is>
      </c>
      <c r="B171" s="11" t="n"/>
      <c r="C171" s="11" t="n"/>
      <c r="D171" s="11" t="n"/>
      <c r="E171" s="12">
        <f>IFERROR(VLOOKUP(D171,PRODUTOS!$A:$J,2,FALSE),"")</f>
        <v/>
      </c>
      <c r="F171" s="11" t="n"/>
      <c r="G171" s="13" t="n"/>
      <c r="H171" s="11" t="inlineStr">
        <is>
          <t>DISPONÍVEL</t>
        </is>
      </c>
      <c r="I171" s="14" t="n"/>
      <c r="J171" s="15" t="n"/>
      <c r="K171" s="14">
        <f>IF(J171="","",J171-I171)</f>
        <v/>
      </c>
      <c r="L171" s="12">
        <f>IFERROR(VLOOKUP(D171,PRODUTOS!$A:$J,4,FALSE),"")</f>
        <v/>
      </c>
      <c r="M171" s="16" t="n"/>
      <c r="N171" s="11" t="n"/>
      <c r="O171" s="11" t="n"/>
      <c r="P171" s="13" t="n"/>
      <c r="Q171" s="11" t="n"/>
      <c r="R171" s="11" t="n"/>
      <c r="S171" s="11" t="n"/>
      <c r="T171" s="12">
        <f>IF(A171&lt;&gt;"SIM","NÃO MARCADA",IF(COUNTA(B171:H171,J171,M171:N171,P171:Q171)&lt;12,"PREENCHER OBRIGATÓRIOS",IF(OR(J171&lt;0,M171&lt;0),"VALOR INVÁLIDO","OK")))</f>
        <v/>
      </c>
    </row>
    <row r="172">
      <c r="A172" s="11" t="inlineStr">
        <is>
          <t>NÃO</t>
        </is>
      </c>
      <c r="B172" s="11" t="n"/>
      <c r="C172" s="11" t="n"/>
      <c r="D172" s="11" t="n"/>
      <c r="E172" s="12">
        <f>IFERROR(VLOOKUP(D172,PRODUTOS!$A:$J,2,FALSE),"")</f>
        <v/>
      </c>
      <c r="F172" s="11" t="n"/>
      <c r="G172" s="13" t="n"/>
      <c r="H172" s="11" t="inlineStr">
        <is>
          <t>DISPONÍVEL</t>
        </is>
      </c>
      <c r="I172" s="14" t="n"/>
      <c r="J172" s="15" t="n"/>
      <c r="K172" s="14">
        <f>IF(J172="","",J172-I172)</f>
        <v/>
      </c>
      <c r="L172" s="12">
        <f>IFERROR(VLOOKUP(D172,PRODUTOS!$A:$J,4,FALSE),"")</f>
        <v/>
      </c>
      <c r="M172" s="16" t="n"/>
      <c r="N172" s="11" t="n"/>
      <c r="O172" s="11" t="n"/>
      <c r="P172" s="13" t="n"/>
      <c r="Q172" s="11" t="n"/>
      <c r="R172" s="11" t="n"/>
      <c r="S172" s="11" t="n"/>
      <c r="T172" s="12">
        <f>IF(A172&lt;&gt;"SIM","NÃO MARCADA",IF(COUNTA(B172:H172,J172,M172:N172,P172:Q172)&lt;12,"PREENCHER OBRIGATÓRIOS",IF(OR(J172&lt;0,M172&lt;0),"VALOR INVÁLIDO","OK")))</f>
        <v/>
      </c>
    </row>
    <row r="173">
      <c r="A173" s="11" t="inlineStr">
        <is>
          <t>NÃO</t>
        </is>
      </c>
      <c r="B173" s="11" t="n"/>
      <c r="C173" s="11" t="n"/>
      <c r="D173" s="11" t="n"/>
      <c r="E173" s="12">
        <f>IFERROR(VLOOKUP(D173,PRODUTOS!$A:$J,2,FALSE),"")</f>
        <v/>
      </c>
      <c r="F173" s="11" t="n"/>
      <c r="G173" s="13" t="n"/>
      <c r="H173" s="11" t="inlineStr">
        <is>
          <t>DISPONÍVEL</t>
        </is>
      </c>
      <c r="I173" s="14" t="n"/>
      <c r="J173" s="15" t="n"/>
      <c r="K173" s="14">
        <f>IF(J173="","",J173-I173)</f>
        <v/>
      </c>
      <c r="L173" s="12">
        <f>IFERROR(VLOOKUP(D173,PRODUTOS!$A:$J,4,FALSE),"")</f>
        <v/>
      </c>
      <c r="M173" s="16" t="n"/>
      <c r="N173" s="11" t="n"/>
      <c r="O173" s="11" t="n"/>
      <c r="P173" s="13" t="n"/>
      <c r="Q173" s="11" t="n"/>
      <c r="R173" s="11" t="n"/>
      <c r="S173" s="11" t="n"/>
      <c r="T173" s="12">
        <f>IF(A173&lt;&gt;"SIM","NÃO MARCADA",IF(COUNTA(B173:H173,J173,M173:N173,P173:Q173)&lt;12,"PREENCHER OBRIGATÓRIOS",IF(OR(J173&lt;0,M173&lt;0),"VALOR INVÁLIDO","OK")))</f>
        <v/>
      </c>
    </row>
    <row r="174">
      <c r="A174" s="11" t="inlineStr">
        <is>
          <t>NÃO</t>
        </is>
      </c>
      <c r="B174" s="11" t="n"/>
      <c r="C174" s="11" t="n"/>
      <c r="D174" s="11" t="n"/>
      <c r="E174" s="12">
        <f>IFERROR(VLOOKUP(D174,PRODUTOS!$A:$J,2,FALSE),"")</f>
        <v/>
      </c>
      <c r="F174" s="11" t="n"/>
      <c r="G174" s="13" t="n"/>
      <c r="H174" s="11" t="inlineStr">
        <is>
          <t>DISPONÍVEL</t>
        </is>
      </c>
      <c r="I174" s="14" t="n"/>
      <c r="J174" s="15" t="n"/>
      <c r="K174" s="14">
        <f>IF(J174="","",J174-I174)</f>
        <v/>
      </c>
      <c r="L174" s="12">
        <f>IFERROR(VLOOKUP(D174,PRODUTOS!$A:$J,4,FALSE),"")</f>
        <v/>
      </c>
      <c r="M174" s="16" t="n"/>
      <c r="N174" s="11" t="n"/>
      <c r="O174" s="11" t="n"/>
      <c r="P174" s="13" t="n"/>
      <c r="Q174" s="11" t="n"/>
      <c r="R174" s="11" t="n"/>
      <c r="S174" s="11" t="n"/>
      <c r="T174" s="12">
        <f>IF(A174&lt;&gt;"SIM","NÃO MARCADA",IF(COUNTA(B174:H174,J174,M174:N174,P174:Q174)&lt;12,"PREENCHER OBRIGATÓRIOS",IF(OR(J174&lt;0,M174&lt;0),"VALOR INVÁLIDO","OK")))</f>
        <v/>
      </c>
    </row>
    <row r="175">
      <c r="A175" s="11" t="inlineStr">
        <is>
          <t>NÃO</t>
        </is>
      </c>
      <c r="B175" s="11" t="n"/>
      <c r="C175" s="11" t="n"/>
      <c r="D175" s="11" t="n"/>
      <c r="E175" s="12">
        <f>IFERROR(VLOOKUP(D175,PRODUTOS!$A:$J,2,FALSE),"")</f>
        <v/>
      </c>
      <c r="F175" s="11" t="n"/>
      <c r="G175" s="13" t="n"/>
      <c r="H175" s="11" t="inlineStr">
        <is>
          <t>DISPONÍVEL</t>
        </is>
      </c>
      <c r="I175" s="14" t="n"/>
      <c r="J175" s="15" t="n"/>
      <c r="K175" s="14">
        <f>IF(J175="","",J175-I175)</f>
        <v/>
      </c>
      <c r="L175" s="12">
        <f>IFERROR(VLOOKUP(D175,PRODUTOS!$A:$J,4,FALSE),"")</f>
        <v/>
      </c>
      <c r="M175" s="16" t="n"/>
      <c r="N175" s="11" t="n"/>
      <c r="O175" s="11" t="n"/>
      <c r="P175" s="13" t="n"/>
      <c r="Q175" s="11" t="n"/>
      <c r="R175" s="11" t="n"/>
      <c r="S175" s="11" t="n"/>
      <c r="T175" s="12">
        <f>IF(A175&lt;&gt;"SIM","NÃO MARCADA",IF(COUNTA(B175:H175,J175,M175:N175,P175:Q175)&lt;12,"PREENCHER OBRIGATÓRIOS",IF(OR(J175&lt;0,M175&lt;0),"VALOR INVÁLIDO","OK")))</f>
        <v/>
      </c>
    </row>
    <row r="176">
      <c r="A176" s="11" t="inlineStr">
        <is>
          <t>NÃO</t>
        </is>
      </c>
      <c r="B176" s="11" t="n"/>
      <c r="C176" s="11" t="n"/>
      <c r="D176" s="11" t="n"/>
      <c r="E176" s="12">
        <f>IFERROR(VLOOKUP(D176,PRODUTOS!$A:$J,2,FALSE),"")</f>
        <v/>
      </c>
      <c r="F176" s="11" t="n"/>
      <c r="G176" s="13" t="n"/>
      <c r="H176" s="11" t="inlineStr">
        <is>
          <t>DISPONÍVEL</t>
        </is>
      </c>
      <c r="I176" s="14" t="n"/>
      <c r="J176" s="15" t="n"/>
      <c r="K176" s="14">
        <f>IF(J176="","",J176-I176)</f>
        <v/>
      </c>
      <c r="L176" s="12">
        <f>IFERROR(VLOOKUP(D176,PRODUTOS!$A:$J,4,FALSE),"")</f>
        <v/>
      </c>
      <c r="M176" s="16" t="n"/>
      <c r="N176" s="11" t="n"/>
      <c r="O176" s="11" t="n"/>
      <c r="P176" s="13" t="n"/>
      <c r="Q176" s="11" t="n"/>
      <c r="R176" s="11" t="n"/>
      <c r="S176" s="11" t="n"/>
      <c r="T176" s="12">
        <f>IF(A176&lt;&gt;"SIM","NÃO MARCADA",IF(COUNTA(B176:H176,J176,M176:N176,P176:Q176)&lt;12,"PREENCHER OBRIGATÓRIOS",IF(OR(J176&lt;0,M176&lt;0),"VALOR INVÁLIDO","OK")))</f>
        <v/>
      </c>
    </row>
    <row r="177">
      <c r="A177" s="11" t="inlineStr">
        <is>
          <t>NÃO</t>
        </is>
      </c>
      <c r="B177" s="11" t="n"/>
      <c r="C177" s="11" t="n"/>
      <c r="D177" s="11" t="n"/>
      <c r="E177" s="12">
        <f>IFERROR(VLOOKUP(D177,PRODUTOS!$A:$J,2,FALSE),"")</f>
        <v/>
      </c>
      <c r="F177" s="11" t="n"/>
      <c r="G177" s="13" t="n"/>
      <c r="H177" s="11" t="inlineStr">
        <is>
          <t>DISPONÍVEL</t>
        </is>
      </c>
      <c r="I177" s="14" t="n"/>
      <c r="J177" s="15" t="n"/>
      <c r="K177" s="14">
        <f>IF(J177="","",J177-I177)</f>
        <v/>
      </c>
      <c r="L177" s="12">
        <f>IFERROR(VLOOKUP(D177,PRODUTOS!$A:$J,4,FALSE),"")</f>
        <v/>
      </c>
      <c r="M177" s="16" t="n"/>
      <c r="N177" s="11" t="n"/>
      <c r="O177" s="11" t="n"/>
      <c r="P177" s="13" t="n"/>
      <c r="Q177" s="11" t="n"/>
      <c r="R177" s="11" t="n"/>
      <c r="S177" s="11" t="n"/>
      <c r="T177" s="12">
        <f>IF(A177&lt;&gt;"SIM","NÃO MARCADA",IF(COUNTA(B177:H177,J177,M177:N177,P177:Q177)&lt;12,"PREENCHER OBRIGATÓRIOS",IF(OR(J177&lt;0,M177&lt;0),"VALOR INVÁLIDO","OK")))</f>
        <v/>
      </c>
    </row>
    <row r="178">
      <c r="A178" s="11" t="inlineStr">
        <is>
          <t>NÃO</t>
        </is>
      </c>
      <c r="B178" s="11" t="n"/>
      <c r="C178" s="11" t="n"/>
      <c r="D178" s="11" t="n"/>
      <c r="E178" s="12">
        <f>IFERROR(VLOOKUP(D178,PRODUTOS!$A:$J,2,FALSE),"")</f>
        <v/>
      </c>
      <c r="F178" s="11" t="n"/>
      <c r="G178" s="13" t="n"/>
      <c r="H178" s="11" t="inlineStr">
        <is>
          <t>DISPONÍVEL</t>
        </is>
      </c>
      <c r="I178" s="14" t="n"/>
      <c r="J178" s="15" t="n"/>
      <c r="K178" s="14">
        <f>IF(J178="","",J178-I178)</f>
        <v/>
      </c>
      <c r="L178" s="12">
        <f>IFERROR(VLOOKUP(D178,PRODUTOS!$A:$J,4,FALSE),"")</f>
        <v/>
      </c>
      <c r="M178" s="16" t="n"/>
      <c r="N178" s="11" t="n"/>
      <c r="O178" s="11" t="n"/>
      <c r="P178" s="13" t="n"/>
      <c r="Q178" s="11" t="n"/>
      <c r="R178" s="11" t="n"/>
      <c r="S178" s="11" t="n"/>
      <c r="T178" s="12">
        <f>IF(A178&lt;&gt;"SIM","NÃO MARCADA",IF(COUNTA(B178:H178,J178,M178:N178,P178:Q178)&lt;12,"PREENCHER OBRIGATÓRIOS",IF(OR(J178&lt;0,M178&lt;0),"VALOR INVÁLIDO","OK")))</f>
        <v/>
      </c>
    </row>
    <row r="179">
      <c r="A179" s="11" t="inlineStr">
        <is>
          <t>NÃO</t>
        </is>
      </c>
      <c r="B179" s="11" t="n"/>
      <c r="C179" s="11" t="n"/>
      <c r="D179" s="11" t="n"/>
      <c r="E179" s="12">
        <f>IFERROR(VLOOKUP(D179,PRODUTOS!$A:$J,2,FALSE),"")</f>
        <v/>
      </c>
      <c r="F179" s="11" t="n"/>
      <c r="G179" s="13" t="n"/>
      <c r="H179" s="11" t="inlineStr">
        <is>
          <t>DISPONÍVEL</t>
        </is>
      </c>
      <c r="I179" s="14" t="n"/>
      <c r="J179" s="15" t="n"/>
      <c r="K179" s="14">
        <f>IF(J179="","",J179-I179)</f>
        <v/>
      </c>
      <c r="L179" s="12">
        <f>IFERROR(VLOOKUP(D179,PRODUTOS!$A:$J,4,FALSE),"")</f>
        <v/>
      </c>
      <c r="M179" s="16" t="n"/>
      <c r="N179" s="11" t="n"/>
      <c r="O179" s="11" t="n"/>
      <c r="P179" s="13" t="n"/>
      <c r="Q179" s="11" t="n"/>
      <c r="R179" s="11" t="n"/>
      <c r="S179" s="11" t="n"/>
      <c r="T179" s="12">
        <f>IF(A179&lt;&gt;"SIM","NÃO MARCADA",IF(COUNTA(B179:H179,J179,M179:N179,P179:Q179)&lt;12,"PREENCHER OBRIGATÓRIOS",IF(OR(J179&lt;0,M179&lt;0),"VALOR INVÁLIDO","OK")))</f>
        <v/>
      </c>
    </row>
    <row r="180">
      <c r="A180" s="11" t="inlineStr">
        <is>
          <t>NÃO</t>
        </is>
      </c>
      <c r="B180" s="11" t="n"/>
      <c r="C180" s="11" t="n"/>
      <c r="D180" s="11" t="n"/>
      <c r="E180" s="12">
        <f>IFERROR(VLOOKUP(D180,PRODUTOS!$A:$J,2,FALSE),"")</f>
        <v/>
      </c>
      <c r="F180" s="11" t="n"/>
      <c r="G180" s="13" t="n"/>
      <c r="H180" s="11" t="inlineStr">
        <is>
          <t>DISPONÍVEL</t>
        </is>
      </c>
      <c r="I180" s="14" t="n"/>
      <c r="J180" s="15" t="n"/>
      <c r="K180" s="14">
        <f>IF(J180="","",J180-I180)</f>
        <v/>
      </c>
      <c r="L180" s="12">
        <f>IFERROR(VLOOKUP(D180,PRODUTOS!$A:$J,4,FALSE),"")</f>
        <v/>
      </c>
      <c r="M180" s="16" t="n"/>
      <c r="N180" s="11" t="n"/>
      <c r="O180" s="11" t="n"/>
      <c r="P180" s="13" t="n"/>
      <c r="Q180" s="11" t="n"/>
      <c r="R180" s="11" t="n"/>
      <c r="S180" s="11" t="n"/>
      <c r="T180" s="12">
        <f>IF(A180&lt;&gt;"SIM","NÃO MARCADA",IF(COUNTA(B180:H180,J180,M180:N180,P180:Q180)&lt;12,"PREENCHER OBRIGATÓRIOS",IF(OR(J180&lt;0,M180&lt;0),"VALOR INVÁLIDO","OK")))</f>
        <v/>
      </c>
    </row>
    <row r="181">
      <c r="A181" s="11" t="inlineStr">
        <is>
          <t>NÃO</t>
        </is>
      </c>
      <c r="B181" s="11" t="n"/>
      <c r="C181" s="11" t="n"/>
      <c r="D181" s="11" t="n"/>
      <c r="E181" s="12">
        <f>IFERROR(VLOOKUP(D181,PRODUTOS!$A:$J,2,FALSE),"")</f>
        <v/>
      </c>
      <c r="F181" s="11" t="n"/>
      <c r="G181" s="13" t="n"/>
      <c r="H181" s="11" t="inlineStr">
        <is>
          <t>DISPONÍVEL</t>
        </is>
      </c>
      <c r="I181" s="14" t="n"/>
      <c r="J181" s="15" t="n"/>
      <c r="K181" s="14">
        <f>IF(J181="","",J181-I181)</f>
        <v/>
      </c>
      <c r="L181" s="12">
        <f>IFERROR(VLOOKUP(D181,PRODUTOS!$A:$J,4,FALSE),"")</f>
        <v/>
      </c>
      <c r="M181" s="16" t="n"/>
      <c r="N181" s="11" t="n"/>
      <c r="O181" s="11" t="n"/>
      <c r="P181" s="13" t="n"/>
      <c r="Q181" s="11" t="n"/>
      <c r="R181" s="11" t="n"/>
      <c r="S181" s="11" t="n"/>
      <c r="T181" s="12">
        <f>IF(A181&lt;&gt;"SIM","NÃO MARCADA",IF(COUNTA(B181:H181,J181,M181:N181,P181:Q181)&lt;12,"PREENCHER OBRIGATÓRIOS",IF(OR(J181&lt;0,M181&lt;0),"VALOR INVÁLIDO","OK")))</f>
        <v/>
      </c>
    </row>
    <row r="182">
      <c r="A182" s="11" t="inlineStr">
        <is>
          <t>NÃO</t>
        </is>
      </c>
      <c r="B182" s="11" t="n"/>
      <c r="C182" s="11" t="n"/>
      <c r="D182" s="11" t="n"/>
      <c r="E182" s="12">
        <f>IFERROR(VLOOKUP(D182,PRODUTOS!$A:$J,2,FALSE),"")</f>
        <v/>
      </c>
      <c r="F182" s="11" t="n"/>
      <c r="G182" s="13" t="n"/>
      <c r="H182" s="11" t="inlineStr">
        <is>
          <t>DISPONÍVEL</t>
        </is>
      </c>
      <c r="I182" s="14" t="n"/>
      <c r="J182" s="15" t="n"/>
      <c r="K182" s="14">
        <f>IF(J182="","",J182-I182)</f>
        <v/>
      </c>
      <c r="L182" s="12">
        <f>IFERROR(VLOOKUP(D182,PRODUTOS!$A:$J,4,FALSE),"")</f>
        <v/>
      </c>
      <c r="M182" s="16" t="n"/>
      <c r="N182" s="11" t="n"/>
      <c r="O182" s="11" t="n"/>
      <c r="P182" s="13" t="n"/>
      <c r="Q182" s="11" t="n"/>
      <c r="R182" s="11" t="n"/>
      <c r="S182" s="11" t="n"/>
      <c r="T182" s="12">
        <f>IF(A182&lt;&gt;"SIM","NÃO MARCADA",IF(COUNTA(B182:H182,J182,M182:N182,P182:Q182)&lt;12,"PREENCHER OBRIGATÓRIOS",IF(OR(J182&lt;0,M182&lt;0),"VALOR INVÁLIDO","OK")))</f>
        <v/>
      </c>
    </row>
    <row r="183">
      <c r="A183" s="11" t="inlineStr">
        <is>
          <t>NÃO</t>
        </is>
      </c>
      <c r="B183" s="11" t="n"/>
      <c r="C183" s="11" t="n"/>
      <c r="D183" s="11" t="n"/>
      <c r="E183" s="12">
        <f>IFERROR(VLOOKUP(D183,PRODUTOS!$A:$J,2,FALSE),"")</f>
        <v/>
      </c>
      <c r="F183" s="11" t="n"/>
      <c r="G183" s="13" t="n"/>
      <c r="H183" s="11" t="inlineStr">
        <is>
          <t>DISPONÍVEL</t>
        </is>
      </c>
      <c r="I183" s="14" t="n"/>
      <c r="J183" s="15" t="n"/>
      <c r="K183" s="14">
        <f>IF(J183="","",J183-I183)</f>
        <v/>
      </c>
      <c r="L183" s="12">
        <f>IFERROR(VLOOKUP(D183,PRODUTOS!$A:$J,4,FALSE),"")</f>
        <v/>
      </c>
      <c r="M183" s="16" t="n"/>
      <c r="N183" s="11" t="n"/>
      <c r="O183" s="11" t="n"/>
      <c r="P183" s="13" t="n"/>
      <c r="Q183" s="11" t="n"/>
      <c r="R183" s="11" t="n"/>
      <c r="S183" s="11" t="n"/>
      <c r="T183" s="12">
        <f>IF(A183&lt;&gt;"SIM","NÃO MARCADA",IF(COUNTA(B183:H183,J183,M183:N183,P183:Q183)&lt;12,"PREENCHER OBRIGATÓRIOS",IF(OR(J183&lt;0,M183&lt;0),"VALOR INVÁLIDO","OK")))</f>
        <v/>
      </c>
    </row>
    <row r="184">
      <c r="A184" s="11" t="inlineStr">
        <is>
          <t>NÃO</t>
        </is>
      </c>
      <c r="B184" s="11" t="n"/>
      <c r="C184" s="11" t="n"/>
      <c r="D184" s="11" t="n"/>
      <c r="E184" s="12">
        <f>IFERROR(VLOOKUP(D184,PRODUTOS!$A:$J,2,FALSE),"")</f>
        <v/>
      </c>
      <c r="F184" s="11" t="n"/>
      <c r="G184" s="13" t="n"/>
      <c r="H184" s="11" t="inlineStr">
        <is>
          <t>DISPONÍVEL</t>
        </is>
      </c>
      <c r="I184" s="14" t="n"/>
      <c r="J184" s="15" t="n"/>
      <c r="K184" s="14">
        <f>IF(J184="","",J184-I184)</f>
        <v/>
      </c>
      <c r="L184" s="12">
        <f>IFERROR(VLOOKUP(D184,PRODUTOS!$A:$J,4,FALSE),"")</f>
        <v/>
      </c>
      <c r="M184" s="16" t="n"/>
      <c r="N184" s="11" t="n"/>
      <c r="O184" s="11" t="n"/>
      <c r="P184" s="13" t="n"/>
      <c r="Q184" s="11" t="n"/>
      <c r="R184" s="11" t="n"/>
      <c r="S184" s="11" t="n"/>
      <c r="T184" s="12">
        <f>IF(A184&lt;&gt;"SIM","NÃO MARCADA",IF(COUNTA(B184:H184,J184,M184:N184,P184:Q184)&lt;12,"PREENCHER OBRIGATÓRIOS",IF(OR(J184&lt;0,M184&lt;0),"VALOR INVÁLIDO","OK")))</f>
        <v/>
      </c>
    </row>
    <row r="185">
      <c r="A185" s="11" t="inlineStr">
        <is>
          <t>NÃO</t>
        </is>
      </c>
      <c r="B185" s="11" t="n"/>
      <c r="C185" s="11" t="n"/>
      <c r="D185" s="11" t="n"/>
      <c r="E185" s="12">
        <f>IFERROR(VLOOKUP(D185,PRODUTOS!$A:$J,2,FALSE),"")</f>
        <v/>
      </c>
      <c r="F185" s="11" t="n"/>
      <c r="G185" s="13" t="n"/>
      <c r="H185" s="11" t="inlineStr">
        <is>
          <t>DISPONÍVEL</t>
        </is>
      </c>
      <c r="I185" s="14" t="n"/>
      <c r="J185" s="15" t="n"/>
      <c r="K185" s="14">
        <f>IF(J185="","",J185-I185)</f>
        <v/>
      </c>
      <c r="L185" s="12">
        <f>IFERROR(VLOOKUP(D185,PRODUTOS!$A:$J,4,FALSE),"")</f>
        <v/>
      </c>
      <c r="M185" s="16" t="n"/>
      <c r="N185" s="11" t="n"/>
      <c r="O185" s="11" t="n"/>
      <c r="P185" s="13" t="n"/>
      <c r="Q185" s="11" t="n"/>
      <c r="R185" s="11" t="n"/>
      <c r="S185" s="11" t="n"/>
      <c r="T185" s="12">
        <f>IF(A185&lt;&gt;"SIM","NÃO MARCADA",IF(COUNTA(B185:H185,J185,M185:N185,P185:Q185)&lt;12,"PREENCHER OBRIGATÓRIOS",IF(OR(J185&lt;0,M185&lt;0),"VALOR INVÁLIDO","OK")))</f>
        <v/>
      </c>
    </row>
    <row r="186">
      <c r="A186" s="11" t="inlineStr">
        <is>
          <t>NÃO</t>
        </is>
      </c>
      <c r="B186" s="11" t="n"/>
      <c r="C186" s="11" t="n"/>
      <c r="D186" s="11" t="n"/>
      <c r="E186" s="12">
        <f>IFERROR(VLOOKUP(D186,PRODUTOS!$A:$J,2,FALSE),"")</f>
        <v/>
      </c>
      <c r="F186" s="11" t="n"/>
      <c r="G186" s="13" t="n"/>
      <c r="H186" s="11" t="inlineStr">
        <is>
          <t>DISPONÍVEL</t>
        </is>
      </c>
      <c r="I186" s="14" t="n"/>
      <c r="J186" s="15" t="n"/>
      <c r="K186" s="14">
        <f>IF(J186="","",J186-I186)</f>
        <v/>
      </c>
      <c r="L186" s="12">
        <f>IFERROR(VLOOKUP(D186,PRODUTOS!$A:$J,4,FALSE),"")</f>
        <v/>
      </c>
      <c r="M186" s="16" t="n"/>
      <c r="N186" s="11" t="n"/>
      <c r="O186" s="11" t="n"/>
      <c r="P186" s="13" t="n"/>
      <c r="Q186" s="11" t="n"/>
      <c r="R186" s="11" t="n"/>
      <c r="S186" s="11" t="n"/>
      <c r="T186" s="12">
        <f>IF(A186&lt;&gt;"SIM","NÃO MARCADA",IF(COUNTA(B186:H186,J186,M186:N186,P186:Q186)&lt;12,"PREENCHER OBRIGATÓRIOS",IF(OR(J186&lt;0,M186&lt;0),"VALOR INVÁLIDO","OK")))</f>
        <v/>
      </c>
    </row>
    <row r="187">
      <c r="A187" s="11" t="inlineStr">
        <is>
          <t>NÃO</t>
        </is>
      </c>
      <c r="B187" s="11" t="n"/>
      <c r="C187" s="11" t="n"/>
      <c r="D187" s="11" t="n"/>
      <c r="E187" s="12">
        <f>IFERROR(VLOOKUP(D187,PRODUTOS!$A:$J,2,FALSE),"")</f>
        <v/>
      </c>
      <c r="F187" s="11" t="n"/>
      <c r="G187" s="13" t="n"/>
      <c r="H187" s="11" t="inlineStr">
        <is>
          <t>DISPONÍVEL</t>
        </is>
      </c>
      <c r="I187" s="14" t="n"/>
      <c r="J187" s="15" t="n"/>
      <c r="K187" s="14">
        <f>IF(J187="","",J187-I187)</f>
        <v/>
      </c>
      <c r="L187" s="12">
        <f>IFERROR(VLOOKUP(D187,PRODUTOS!$A:$J,4,FALSE),"")</f>
        <v/>
      </c>
      <c r="M187" s="16" t="n"/>
      <c r="N187" s="11" t="n"/>
      <c r="O187" s="11" t="n"/>
      <c r="P187" s="13" t="n"/>
      <c r="Q187" s="11" t="n"/>
      <c r="R187" s="11" t="n"/>
      <c r="S187" s="11" t="n"/>
      <c r="T187" s="12">
        <f>IF(A187&lt;&gt;"SIM","NÃO MARCADA",IF(COUNTA(B187:H187,J187,M187:N187,P187:Q187)&lt;12,"PREENCHER OBRIGATÓRIOS",IF(OR(J187&lt;0,M187&lt;0),"VALOR INVÁLIDO","OK")))</f>
        <v/>
      </c>
    </row>
    <row r="188">
      <c r="A188" s="11" t="inlineStr">
        <is>
          <t>NÃO</t>
        </is>
      </c>
      <c r="B188" s="11" t="n"/>
      <c r="C188" s="11" t="n"/>
      <c r="D188" s="11" t="n"/>
      <c r="E188" s="12">
        <f>IFERROR(VLOOKUP(D188,PRODUTOS!$A:$J,2,FALSE),"")</f>
        <v/>
      </c>
      <c r="F188" s="11" t="n"/>
      <c r="G188" s="13" t="n"/>
      <c r="H188" s="11" t="inlineStr">
        <is>
          <t>DISPONÍVEL</t>
        </is>
      </c>
      <c r="I188" s="14" t="n"/>
      <c r="J188" s="15" t="n"/>
      <c r="K188" s="14">
        <f>IF(J188="","",J188-I188)</f>
        <v/>
      </c>
      <c r="L188" s="12">
        <f>IFERROR(VLOOKUP(D188,PRODUTOS!$A:$J,4,FALSE),"")</f>
        <v/>
      </c>
      <c r="M188" s="16" t="n"/>
      <c r="N188" s="11" t="n"/>
      <c r="O188" s="11" t="n"/>
      <c r="P188" s="13" t="n"/>
      <c r="Q188" s="11" t="n"/>
      <c r="R188" s="11" t="n"/>
      <c r="S188" s="11" t="n"/>
      <c r="T188" s="12">
        <f>IF(A188&lt;&gt;"SIM","NÃO MARCADA",IF(COUNTA(B188:H188,J188,M188:N188,P188:Q188)&lt;12,"PREENCHER OBRIGATÓRIOS",IF(OR(J188&lt;0,M188&lt;0),"VALOR INVÁLIDO","OK")))</f>
        <v/>
      </c>
    </row>
    <row r="189">
      <c r="A189" s="11" t="inlineStr">
        <is>
          <t>NÃO</t>
        </is>
      </c>
      <c r="B189" s="11" t="n"/>
      <c r="C189" s="11" t="n"/>
      <c r="D189" s="11" t="n"/>
      <c r="E189" s="12">
        <f>IFERROR(VLOOKUP(D189,PRODUTOS!$A:$J,2,FALSE),"")</f>
        <v/>
      </c>
      <c r="F189" s="11" t="n"/>
      <c r="G189" s="13" t="n"/>
      <c r="H189" s="11" t="inlineStr">
        <is>
          <t>DISPONÍVEL</t>
        </is>
      </c>
      <c r="I189" s="14" t="n"/>
      <c r="J189" s="15" t="n"/>
      <c r="K189" s="14">
        <f>IF(J189="","",J189-I189)</f>
        <v/>
      </c>
      <c r="L189" s="12">
        <f>IFERROR(VLOOKUP(D189,PRODUTOS!$A:$J,4,FALSE),"")</f>
        <v/>
      </c>
      <c r="M189" s="16" t="n"/>
      <c r="N189" s="11" t="n"/>
      <c r="O189" s="11" t="n"/>
      <c r="P189" s="13" t="n"/>
      <c r="Q189" s="11" t="n"/>
      <c r="R189" s="11" t="n"/>
      <c r="S189" s="11" t="n"/>
      <c r="T189" s="12">
        <f>IF(A189&lt;&gt;"SIM","NÃO MARCADA",IF(COUNTA(B189:H189,J189,M189:N189,P189:Q189)&lt;12,"PREENCHER OBRIGATÓRIOS",IF(OR(J189&lt;0,M189&lt;0),"VALOR INVÁLIDO","OK")))</f>
        <v/>
      </c>
    </row>
    <row r="190">
      <c r="A190" s="11" t="inlineStr">
        <is>
          <t>NÃO</t>
        </is>
      </c>
      <c r="B190" s="11" t="n"/>
      <c r="C190" s="11" t="n"/>
      <c r="D190" s="11" t="n"/>
      <c r="E190" s="12">
        <f>IFERROR(VLOOKUP(D190,PRODUTOS!$A:$J,2,FALSE),"")</f>
        <v/>
      </c>
      <c r="F190" s="11" t="n"/>
      <c r="G190" s="13" t="n"/>
      <c r="H190" s="11" t="inlineStr">
        <is>
          <t>DISPONÍVEL</t>
        </is>
      </c>
      <c r="I190" s="14" t="n"/>
      <c r="J190" s="15" t="n"/>
      <c r="K190" s="14">
        <f>IF(J190="","",J190-I190)</f>
        <v/>
      </c>
      <c r="L190" s="12">
        <f>IFERROR(VLOOKUP(D190,PRODUTOS!$A:$J,4,FALSE),"")</f>
        <v/>
      </c>
      <c r="M190" s="16" t="n"/>
      <c r="N190" s="11" t="n"/>
      <c r="O190" s="11" t="n"/>
      <c r="P190" s="13" t="n"/>
      <c r="Q190" s="11" t="n"/>
      <c r="R190" s="11" t="n"/>
      <c r="S190" s="11" t="n"/>
      <c r="T190" s="12">
        <f>IF(A190&lt;&gt;"SIM","NÃO MARCADA",IF(COUNTA(B190:H190,J190,M190:N190,P190:Q190)&lt;12,"PREENCHER OBRIGATÓRIOS",IF(OR(J190&lt;0,M190&lt;0),"VALOR INVÁLIDO","OK")))</f>
        <v/>
      </c>
    </row>
    <row r="191">
      <c r="A191" s="11" t="inlineStr">
        <is>
          <t>NÃO</t>
        </is>
      </c>
      <c r="B191" s="11" t="n"/>
      <c r="C191" s="11" t="n"/>
      <c r="D191" s="11" t="n"/>
      <c r="E191" s="12">
        <f>IFERROR(VLOOKUP(D191,PRODUTOS!$A:$J,2,FALSE),"")</f>
        <v/>
      </c>
      <c r="F191" s="11" t="n"/>
      <c r="G191" s="13" t="n"/>
      <c r="H191" s="11" t="inlineStr">
        <is>
          <t>DISPONÍVEL</t>
        </is>
      </c>
      <c r="I191" s="14" t="n"/>
      <c r="J191" s="15" t="n"/>
      <c r="K191" s="14">
        <f>IF(J191="","",J191-I191)</f>
        <v/>
      </c>
      <c r="L191" s="12">
        <f>IFERROR(VLOOKUP(D191,PRODUTOS!$A:$J,4,FALSE),"")</f>
        <v/>
      </c>
      <c r="M191" s="16" t="n"/>
      <c r="N191" s="11" t="n"/>
      <c r="O191" s="11" t="n"/>
      <c r="P191" s="13" t="n"/>
      <c r="Q191" s="11" t="n"/>
      <c r="R191" s="11" t="n"/>
      <c r="S191" s="11" t="n"/>
      <c r="T191" s="12">
        <f>IF(A191&lt;&gt;"SIM","NÃO MARCADA",IF(COUNTA(B191:H191,J191,M191:N191,P191:Q191)&lt;12,"PREENCHER OBRIGATÓRIOS",IF(OR(J191&lt;0,M191&lt;0),"VALOR INVÁLIDO","OK")))</f>
        <v/>
      </c>
    </row>
    <row r="192">
      <c r="A192" s="11" t="inlineStr">
        <is>
          <t>NÃO</t>
        </is>
      </c>
      <c r="B192" s="11" t="n"/>
      <c r="C192" s="11" t="n"/>
      <c r="D192" s="11" t="n"/>
      <c r="E192" s="12">
        <f>IFERROR(VLOOKUP(D192,PRODUTOS!$A:$J,2,FALSE),"")</f>
        <v/>
      </c>
      <c r="F192" s="11" t="n"/>
      <c r="G192" s="13" t="n"/>
      <c r="H192" s="11" t="inlineStr">
        <is>
          <t>DISPONÍVEL</t>
        </is>
      </c>
      <c r="I192" s="14" t="n"/>
      <c r="J192" s="15" t="n"/>
      <c r="K192" s="14">
        <f>IF(J192="","",J192-I192)</f>
        <v/>
      </c>
      <c r="L192" s="12">
        <f>IFERROR(VLOOKUP(D192,PRODUTOS!$A:$J,4,FALSE),"")</f>
        <v/>
      </c>
      <c r="M192" s="16" t="n"/>
      <c r="N192" s="11" t="n"/>
      <c r="O192" s="11" t="n"/>
      <c r="P192" s="13" t="n"/>
      <c r="Q192" s="11" t="n"/>
      <c r="R192" s="11" t="n"/>
      <c r="S192" s="11" t="n"/>
      <c r="T192" s="12">
        <f>IF(A192&lt;&gt;"SIM","NÃO MARCADA",IF(COUNTA(B192:H192,J192,M192:N192,P192:Q192)&lt;12,"PREENCHER OBRIGATÓRIOS",IF(OR(J192&lt;0,M192&lt;0),"VALOR INVÁLIDO","OK")))</f>
        <v/>
      </c>
    </row>
    <row r="193">
      <c r="A193" s="11" t="inlineStr">
        <is>
          <t>NÃO</t>
        </is>
      </c>
      <c r="B193" s="11" t="n"/>
      <c r="C193" s="11" t="n"/>
      <c r="D193" s="11" t="n"/>
      <c r="E193" s="12">
        <f>IFERROR(VLOOKUP(D193,PRODUTOS!$A:$J,2,FALSE),"")</f>
        <v/>
      </c>
      <c r="F193" s="11" t="n"/>
      <c r="G193" s="13" t="n"/>
      <c r="H193" s="11" t="inlineStr">
        <is>
          <t>DISPONÍVEL</t>
        </is>
      </c>
      <c r="I193" s="14" t="n"/>
      <c r="J193" s="15" t="n"/>
      <c r="K193" s="14">
        <f>IF(J193="","",J193-I193)</f>
        <v/>
      </c>
      <c r="L193" s="12">
        <f>IFERROR(VLOOKUP(D193,PRODUTOS!$A:$J,4,FALSE),"")</f>
        <v/>
      </c>
      <c r="M193" s="16" t="n"/>
      <c r="N193" s="11" t="n"/>
      <c r="O193" s="11" t="n"/>
      <c r="P193" s="13" t="n"/>
      <c r="Q193" s="11" t="n"/>
      <c r="R193" s="11" t="n"/>
      <c r="S193" s="11" t="n"/>
      <c r="T193" s="12">
        <f>IF(A193&lt;&gt;"SIM","NÃO MARCADA",IF(COUNTA(B193:H193,J193,M193:N193,P193:Q193)&lt;12,"PREENCHER OBRIGATÓRIOS",IF(OR(J193&lt;0,M193&lt;0),"VALOR INVÁLIDO","OK")))</f>
        <v/>
      </c>
    </row>
    <row r="194">
      <c r="A194" s="11" t="inlineStr">
        <is>
          <t>NÃO</t>
        </is>
      </c>
      <c r="B194" s="11" t="n"/>
      <c r="C194" s="11" t="n"/>
      <c r="D194" s="11" t="n"/>
      <c r="E194" s="12">
        <f>IFERROR(VLOOKUP(D194,PRODUTOS!$A:$J,2,FALSE),"")</f>
        <v/>
      </c>
      <c r="F194" s="11" t="n"/>
      <c r="G194" s="13" t="n"/>
      <c r="H194" s="11" t="inlineStr">
        <is>
          <t>DISPONÍVEL</t>
        </is>
      </c>
      <c r="I194" s="14" t="n"/>
      <c r="J194" s="15" t="n"/>
      <c r="K194" s="14">
        <f>IF(J194="","",J194-I194)</f>
        <v/>
      </c>
      <c r="L194" s="12">
        <f>IFERROR(VLOOKUP(D194,PRODUTOS!$A:$J,4,FALSE),"")</f>
        <v/>
      </c>
      <c r="M194" s="16" t="n"/>
      <c r="N194" s="11" t="n"/>
      <c r="O194" s="11" t="n"/>
      <c r="P194" s="13" t="n"/>
      <c r="Q194" s="11" t="n"/>
      <c r="R194" s="11" t="n"/>
      <c r="S194" s="11" t="n"/>
      <c r="T194" s="12">
        <f>IF(A194&lt;&gt;"SIM","NÃO MARCADA",IF(COUNTA(B194:H194,J194,M194:N194,P194:Q194)&lt;12,"PREENCHER OBRIGATÓRIOS",IF(OR(J194&lt;0,M194&lt;0),"VALOR INVÁLIDO","OK")))</f>
        <v/>
      </c>
    </row>
    <row r="195">
      <c r="A195" s="11" t="inlineStr">
        <is>
          <t>NÃO</t>
        </is>
      </c>
      <c r="B195" s="11" t="n"/>
      <c r="C195" s="11" t="n"/>
      <c r="D195" s="11" t="n"/>
      <c r="E195" s="12">
        <f>IFERROR(VLOOKUP(D195,PRODUTOS!$A:$J,2,FALSE),"")</f>
        <v/>
      </c>
      <c r="F195" s="11" t="n"/>
      <c r="G195" s="13" t="n"/>
      <c r="H195" s="11" t="inlineStr">
        <is>
          <t>DISPONÍVEL</t>
        </is>
      </c>
      <c r="I195" s="14" t="n"/>
      <c r="J195" s="15" t="n"/>
      <c r="K195" s="14">
        <f>IF(J195="","",J195-I195)</f>
        <v/>
      </c>
      <c r="L195" s="12">
        <f>IFERROR(VLOOKUP(D195,PRODUTOS!$A:$J,4,FALSE),"")</f>
        <v/>
      </c>
      <c r="M195" s="16" t="n"/>
      <c r="N195" s="11" t="n"/>
      <c r="O195" s="11" t="n"/>
      <c r="P195" s="13" t="n"/>
      <c r="Q195" s="11" t="n"/>
      <c r="R195" s="11" t="n"/>
      <c r="S195" s="11" t="n"/>
      <c r="T195" s="12">
        <f>IF(A195&lt;&gt;"SIM","NÃO MARCADA",IF(COUNTA(B195:H195,J195,M195:N195,P195:Q195)&lt;12,"PREENCHER OBRIGATÓRIOS",IF(OR(J195&lt;0,M195&lt;0),"VALOR INVÁLIDO","OK")))</f>
        <v/>
      </c>
    </row>
    <row r="196">
      <c r="A196" s="11" t="inlineStr">
        <is>
          <t>NÃO</t>
        </is>
      </c>
      <c r="B196" s="11" t="n"/>
      <c r="C196" s="11" t="n"/>
      <c r="D196" s="11" t="n"/>
      <c r="E196" s="12">
        <f>IFERROR(VLOOKUP(D196,PRODUTOS!$A:$J,2,FALSE),"")</f>
        <v/>
      </c>
      <c r="F196" s="11" t="n"/>
      <c r="G196" s="13" t="n"/>
      <c r="H196" s="11" t="inlineStr">
        <is>
          <t>DISPONÍVEL</t>
        </is>
      </c>
      <c r="I196" s="14" t="n"/>
      <c r="J196" s="15" t="n"/>
      <c r="K196" s="14">
        <f>IF(J196="","",J196-I196)</f>
        <v/>
      </c>
      <c r="L196" s="12">
        <f>IFERROR(VLOOKUP(D196,PRODUTOS!$A:$J,4,FALSE),"")</f>
        <v/>
      </c>
      <c r="M196" s="16" t="n"/>
      <c r="N196" s="11" t="n"/>
      <c r="O196" s="11" t="n"/>
      <c r="P196" s="13" t="n"/>
      <c r="Q196" s="11" t="n"/>
      <c r="R196" s="11" t="n"/>
      <c r="S196" s="11" t="n"/>
      <c r="T196" s="12">
        <f>IF(A196&lt;&gt;"SIM","NÃO MARCADA",IF(COUNTA(B196:H196,J196,M196:N196,P196:Q196)&lt;12,"PREENCHER OBRIGATÓRIOS",IF(OR(J196&lt;0,M196&lt;0),"VALOR INVÁLIDO","OK")))</f>
        <v/>
      </c>
    </row>
    <row r="197">
      <c r="A197" s="11" t="inlineStr">
        <is>
          <t>NÃO</t>
        </is>
      </c>
      <c r="B197" s="11" t="n"/>
      <c r="C197" s="11" t="n"/>
      <c r="D197" s="11" t="n"/>
      <c r="E197" s="12">
        <f>IFERROR(VLOOKUP(D197,PRODUTOS!$A:$J,2,FALSE),"")</f>
        <v/>
      </c>
      <c r="F197" s="11" t="n"/>
      <c r="G197" s="13" t="n"/>
      <c r="H197" s="11" t="inlineStr">
        <is>
          <t>DISPONÍVEL</t>
        </is>
      </c>
      <c r="I197" s="14" t="n"/>
      <c r="J197" s="15" t="n"/>
      <c r="K197" s="14">
        <f>IF(J197="","",J197-I197)</f>
        <v/>
      </c>
      <c r="L197" s="12">
        <f>IFERROR(VLOOKUP(D197,PRODUTOS!$A:$J,4,FALSE),"")</f>
        <v/>
      </c>
      <c r="M197" s="16" t="n"/>
      <c r="N197" s="11" t="n"/>
      <c r="O197" s="11" t="n"/>
      <c r="P197" s="13" t="n"/>
      <c r="Q197" s="11" t="n"/>
      <c r="R197" s="11" t="n"/>
      <c r="S197" s="11" t="n"/>
      <c r="T197" s="12">
        <f>IF(A197&lt;&gt;"SIM","NÃO MARCADA",IF(COUNTA(B197:H197,J197,M197:N197,P197:Q197)&lt;12,"PREENCHER OBRIGATÓRIOS",IF(OR(J197&lt;0,M197&lt;0),"VALOR INVÁLIDO","OK")))</f>
        <v/>
      </c>
    </row>
    <row r="198">
      <c r="A198" s="11" t="inlineStr">
        <is>
          <t>NÃO</t>
        </is>
      </c>
      <c r="B198" s="11" t="n"/>
      <c r="C198" s="11" t="n"/>
      <c r="D198" s="11" t="n"/>
      <c r="E198" s="12">
        <f>IFERROR(VLOOKUP(D198,PRODUTOS!$A:$J,2,FALSE),"")</f>
        <v/>
      </c>
      <c r="F198" s="11" t="n"/>
      <c r="G198" s="13" t="n"/>
      <c r="H198" s="11" t="inlineStr">
        <is>
          <t>DISPONÍVEL</t>
        </is>
      </c>
      <c r="I198" s="14" t="n"/>
      <c r="J198" s="15" t="n"/>
      <c r="K198" s="14">
        <f>IF(J198="","",J198-I198)</f>
        <v/>
      </c>
      <c r="L198" s="12">
        <f>IFERROR(VLOOKUP(D198,PRODUTOS!$A:$J,4,FALSE),"")</f>
        <v/>
      </c>
      <c r="M198" s="16" t="n"/>
      <c r="N198" s="11" t="n"/>
      <c r="O198" s="11" t="n"/>
      <c r="P198" s="13" t="n"/>
      <c r="Q198" s="11" t="n"/>
      <c r="R198" s="11" t="n"/>
      <c r="S198" s="11" t="n"/>
      <c r="T198" s="12">
        <f>IF(A198&lt;&gt;"SIM","NÃO MARCADA",IF(COUNTA(B198:H198,J198,M198:N198,P198:Q198)&lt;12,"PREENCHER OBRIGATÓRIOS",IF(OR(J198&lt;0,M198&lt;0),"VALOR INVÁLIDO","OK")))</f>
        <v/>
      </c>
    </row>
    <row r="199">
      <c r="A199" s="11" t="inlineStr">
        <is>
          <t>NÃO</t>
        </is>
      </c>
      <c r="B199" s="11" t="n"/>
      <c r="C199" s="11" t="n"/>
      <c r="D199" s="11" t="n"/>
      <c r="E199" s="12">
        <f>IFERROR(VLOOKUP(D199,PRODUTOS!$A:$J,2,FALSE),"")</f>
        <v/>
      </c>
      <c r="F199" s="11" t="n"/>
      <c r="G199" s="13" t="n"/>
      <c r="H199" s="11" t="inlineStr">
        <is>
          <t>DISPONÍVEL</t>
        </is>
      </c>
      <c r="I199" s="14" t="n"/>
      <c r="J199" s="15" t="n"/>
      <c r="K199" s="14">
        <f>IF(J199="","",J199-I199)</f>
        <v/>
      </c>
      <c r="L199" s="12">
        <f>IFERROR(VLOOKUP(D199,PRODUTOS!$A:$J,4,FALSE),"")</f>
        <v/>
      </c>
      <c r="M199" s="16" t="n"/>
      <c r="N199" s="11" t="n"/>
      <c r="O199" s="11" t="n"/>
      <c r="P199" s="13" t="n"/>
      <c r="Q199" s="11" t="n"/>
      <c r="R199" s="11" t="n"/>
      <c r="S199" s="11" t="n"/>
      <c r="T199" s="12">
        <f>IF(A199&lt;&gt;"SIM","NÃO MARCADA",IF(COUNTA(B199:H199,J199,M199:N199,P199:Q199)&lt;12,"PREENCHER OBRIGATÓRIOS",IF(OR(J199&lt;0,M199&lt;0),"VALOR INVÁLIDO","OK")))</f>
        <v/>
      </c>
    </row>
    <row r="200">
      <c r="A200" s="11" t="inlineStr">
        <is>
          <t>NÃO</t>
        </is>
      </c>
      <c r="B200" s="11" t="n"/>
      <c r="C200" s="11" t="n"/>
      <c r="D200" s="11" t="n"/>
      <c r="E200" s="12">
        <f>IFERROR(VLOOKUP(D200,PRODUTOS!$A:$J,2,FALSE),"")</f>
        <v/>
      </c>
      <c r="F200" s="11" t="n"/>
      <c r="G200" s="13" t="n"/>
      <c r="H200" s="11" t="inlineStr">
        <is>
          <t>DISPONÍVEL</t>
        </is>
      </c>
      <c r="I200" s="14" t="n"/>
      <c r="J200" s="15" t="n"/>
      <c r="K200" s="14">
        <f>IF(J200="","",J200-I200)</f>
        <v/>
      </c>
      <c r="L200" s="12">
        <f>IFERROR(VLOOKUP(D200,PRODUTOS!$A:$J,4,FALSE),"")</f>
        <v/>
      </c>
      <c r="M200" s="16" t="n"/>
      <c r="N200" s="11" t="n"/>
      <c r="O200" s="11" t="n"/>
      <c r="P200" s="13" t="n"/>
      <c r="Q200" s="11" t="n"/>
      <c r="R200" s="11" t="n"/>
      <c r="S200" s="11" t="n"/>
      <c r="T200" s="12">
        <f>IF(A200&lt;&gt;"SIM","NÃO MARCADA",IF(COUNTA(B200:H200,J200,M200:N200,P200:Q200)&lt;12,"PREENCHER OBRIGATÓRIOS",IF(OR(J200&lt;0,M200&lt;0),"VALOR INVÁLIDO","OK")))</f>
        <v/>
      </c>
    </row>
    <row r="201">
      <c r="A201" s="11" t="inlineStr">
        <is>
          <t>NÃO</t>
        </is>
      </c>
      <c r="B201" s="11" t="n"/>
      <c r="C201" s="11" t="n"/>
      <c r="D201" s="11" t="n"/>
      <c r="E201" s="12">
        <f>IFERROR(VLOOKUP(D201,PRODUTOS!$A:$J,2,FALSE),"")</f>
        <v/>
      </c>
      <c r="F201" s="11" t="n"/>
      <c r="G201" s="13" t="n"/>
      <c r="H201" s="11" t="inlineStr">
        <is>
          <t>DISPONÍVEL</t>
        </is>
      </c>
      <c r="I201" s="14" t="n"/>
      <c r="J201" s="15" t="n"/>
      <c r="K201" s="14">
        <f>IF(J201="","",J201-I201)</f>
        <v/>
      </c>
      <c r="L201" s="12">
        <f>IFERROR(VLOOKUP(D201,PRODUTOS!$A:$J,4,FALSE),"")</f>
        <v/>
      </c>
      <c r="M201" s="16" t="n"/>
      <c r="N201" s="11" t="n"/>
      <c r="O201" s="11" t="n"/>
      <c r="P201" s="13" t="n"/>
      <c r="Q201" s="11" t="n"/>
      <c r="R201" s="11" t="n"/>
      <c r="S201" s="11" t="n"/>
      <c r="T201" s="12">
        <f>IF(A201&lt;&gt;"SIM","NÃO MARCADA",IF(COUNTA(B201:H201,J201,M201:N201,P201:Q201)&lt;12,"PREENCHER OBRIGATÓRIOS",IF(OR(J201&lt;0,M201&lt;0),"VALOR INVÁLIDO","OK")))</f>
        <v/>
      </c>
    </row>
    <row r="202">
      <c r="A202" s="11" t="inlineStr">
        <is>
          <t>NÃO</t>
        </is>
      </c>
      <c r="B202" s="11" t="n"/>
      <c r="C202" s="11" t="n"/>
      <c r="D202" s="11" t="n"/>
      <c r="E202" s="12">
        <f>IFERROR(VLOOKUP(D202,PRODUTOS!$A:$J,2,FALSE),"")</f>
        <v/>
      </c>
      <c r="F202" s="11" t="n"/>
      <c r="G202" s="13" t="n"/>
      <c r="H202" s="11" t="inlineStr">
        <is>
          <t>DISPONÍVEL</t>
        </is>
      </c>
      <c r="I202" s="14" t="n"/>
      <c r="J202" s="15" t="n"/>
      <c r="K202" s="14">
        <f>IF(J202="","",J202-I202)</f>
        <v/>
      </c>
      <c r="L202" s="12">
        <f>IFERROR(VLOOKUP(D202,PRODUTOS!$A:$J,4,FALSE),"")</f>
        <v/>
      </c>
      <c r="M202" s="16" t="n"/>
      <c r="N202" s="11" t="n"/>
      <c r="O202" s="11" t="n"/>
      <c r="P202" s="13" t="n"/>
      <c r="Q202" s="11" t="n"/>
      <c r="R202" s="11" t="n"/>
      <c r="S202" s="11" t="n"/>
      <c r="T202" s="12">
        <f>IF(A202&lt;&gt;"SIM","NÃO MARCADA",IF(COUNTA(B202:H202,J202,M202:N202,P202:Q202)&lt;12,"PREENCHER OBRIGATÓRIOS",IF(OR(J202&lt;0,M202&lt;0),"VALOR INVÁLIDO","OK")))</f>
        <v/>
      </c>
    </row>
    <row r="203">
      <c r="A203" s="11" t="inlineStr">
        <is>
          <t>NÃO</t>
        </is>
      </c>
      <c r="B203" s="11" t="n"/>
      <c r="C203" s="11" t="n"/>
      <c r="D203" s="11" t="n"/>
      <c r="E203" s="12">
        <f>IFERROR(VLOOKUP(D203,PRODUTOS!$A:$J,2,FALSE),"")</f>
        <v/>
      </c>
      <c r="F203" s="11" t="n"/>
      <c r="G203" s="13" t="n"/>
      <c r="H203" s="11" t="inlineStr">
        <is>
          <t>DISPONÍVEL</t>
        </is>
      </c>
      <c r="I203" s="14" t="n"/>
      <c r="J203" s="15" t="n"/>
      <c r="K203" s="14">
        <f>IF(J203="","",J203-I203)</f>
        <v/>
      </c>
      <c r="L203" s="12">
        <f>IFERROR(VLOOKUP(D203,PRODUTOS!$A:$J,4,FALSE),"")</f>
        <v/>
      </c>
      <c r="M203" s="16" t="n"/>
      <c r="N203" s="11" t="n"/>
      <c r="O203" s="11" t="n"/>
      <c r="P203" s="13" t="n"/>
      <c r="Q203" s="11" t="n"/>
      <c r="R203" s="11" t="n"/>
      <c r="S203" s="11" t="n"/>
      <c r="T203" s="12">
        <f>IF(A203&lt;&gt;"SIM","NÃO MARCADA",IF(COUNTA(B203:H203,J203,M203:N203,P203:Q203)&lt;12,"PREENCHER OBRIGATÓRIOS",IF(OR(J203&lt;0,M203&lt;0),"VALOR INVÁLIDO","OK")))</f>
        <v/>
      </c>
    </row>
    <row r="204">
      <c r="A204" s="11" t="inlineStr">
        <is>
          <t>NÃO</t>
        </is>
      </c>
      <c r="B204" s="11" t="n"/>
      <c r="C204" s="11" t="n"/>
      <c r="D204" s="11" t="n"/>
      <c r="E204" s="12">
        <f>IFERROR(VLOOKUP(D204,PRODUTOS!$A:$J,2,FALSE),"")</f>
        <v/>
      </c>
      <c r="F204" s="11" t="n"/>
      <c r="G204" s="13" t="n"/>
      <c r="H204" s="11" t="inlineStr">
        <is>
          <t>DISPONÍVEL</t>
        </is>
      </c>
      <c r="I204" s="14" t="n"/>
      <c r="J204" s="15" t="n"/>
      <c r="K204" s="14">
        <f>IF(J204="","",J204-I204)</f>
        <v/>
      </c>
      <c r="L204" s="12">
        <f>IFERROR(VLOOKUP(D204,PRODUTOS!$A:$J,4,FALSE),"")</f>
        <v/>
      </c>
      <c r="M204" s="16" t="n"/>
      <c r="N204" s="11" t="n"/>
      <c r="O204" s="11" t="n"/>
      <c r="P204" s="13" t="n"/>
      <c r="Q204" s="11" t="n"/>
      <c r="R204" s="11" t="n"/>
      <c r="S204" s="11" t="n"/>
      <c r="T204" s="12">
        <f>IF(A204&lt;&gt;"SIM","NÃO MARCADA",IF(COUNTA(B204:H204,J204,M204:N204,P204:Q204)&lt;12,"PREENCHER OBRIGATÓRIOS",IF(OR(J204&lt;0,M204&lt;0),"VALOR INVÁLIDO","OK")))</f>
        <v/>
      </c>
    </row>
    <row r="205">
      <c r="A205" s="11" t="inlineStr">
        <is>
          <t>NÃO</t>
        </is>
      </c>
      <c r="B205" s="11" t="n"/>
      <c r="C205" s="11" t="n"/>
      <c r="D205" s="11" t="n"/>
      <c r="E205" s="12">
        <f>IFERROR(VLOOKUP(D205,PRODUTOS!$A:$J,2,FALSE),"")</f>
        <v/>
      </c>
      <c r="F205" s="11" t="n"/>
      <c r="G205" s="13" t="n"/>
      <c r="H205" s="11" t="inlineStr">
        <is>
          <t>DISPONÍVEL</t>
        </is>
      </c>
      <c r="I205" s="14" t="n"/>
      <c r="J205" s="15" t="n"/>
      <c r="K205" s="14">
        <f>IF(J205="","",J205-I205)</f>
        <v/>
      </c>
      <c r="L205" s="12">
        <f>IFERROR(VLOOKUP(D205,PRODUTOS!$A:$J,4,FALSE),"")</f>
        <v/>
      </c>
      <c r="M205" s="16" t="n"/>
      <c r="N205" s="11" t="n"/>
      <c r="O205" s="11" t="n"/>
      <c r="P205" s="13" t="n"/>
      <c r="Q205" s="11" t="n"/>
      <c r="R205" s="11" t="n"/>
      <c r="S205" s="11" t="n"/>
      <c r="T205" s="12">
        <f>IF(A205&lt;&gt;"SIM","NÃO MARCADA",IF(COUNTA(B205:H205,J205,M205:N205,P205:Q205)&lt;12,"PREENCHER OBRIGATÓRIOS",IF(OR(J205&lt;0,M205&lt;0),"VALOR INVÁLIDO","OK")))</f>
        <v/>
      </c>
    </row>
    <row r="206">
      <c r="A206" s="11" t="inlineStr">
        <is>
          <t>NÃO</t>
        </is>
      </c>
      <c r="B206" s="11" t="n"/>
      <c r="C206" s="11" t="n"/>
      <c r="D206" s="11" t="n"/>
      <c r="E206" s="12">
        <f>IFERROR(VLOOKUP(D206,PRODUTOS!$A:$J,2,FALSE),"")</f>
        <v/>
      </c>
      <c r="F206" s="11" t="n"/>
      <c r="G206" s="13" t="n"/>
      <c r="H206" s="11" t="inlineStr">
        <is>
          <t>DISPONÍVEL</t>
        </is>
      </c>
      <c r="I206" s="14" t="n"/>
      <c r="J206" s="15" t="n"/>
      <c r="K206" s="14">
        <f>IF(J206="","",J206-I206)</f>
        <v/>
      </c>
      <c r="L206" s="12">
        <f>IFERROR(VLOOKUP(D206,PRODUTOS!$A:$J,4,FALSE),"")</f>
        <v/>
      </c>
      <c r="M206" s="16" t="n"/>
      <c r="N206" s="11" t="n"/>
      <c r="O206" s="11" t="n"/>
      <c r="P206" s="13" t="n"/>
      <c r="Q206" s="11" t="n"/>
      <c r="R206" s="11" t="n"/>
      <c r="S206" s="11" t="n"/>
      <c r="T206" s="12">
        <f>IF(A206&lt;&gt;"SIM","NÃO MARCADA",IF(COUNTA(B206:H206,J206,M206:N206,P206:Q206)&lt;12,"PREENCHER OBRIGATÓRIOS",IF(OR(J206&lt;0,M206&lt;0),"VALOR INVÁLIDO","OK")))</f>
        <v/>
      </c>
    </row>
    <row r="207">
      <c r="A207" s="11" t="inlineStr">
        <is>
          <t>NÃO</t>
        </is>
      </c>
      <c r="B207" s="11" t="n"/>
      <c r="C207" s="11" t="n"/>
      <c r="D207" s="11" t="n"/>
      <c r="E207" s="12">
        <f>IFERROR(VLOOKUP(D207,PRODUTOS!$A:$J,2,FALSE),"")</f>
        <v/>
      </c>
      <c r="F207" s="11" t="n"/>
      <c r="G207" s="13" t="n"/>
      <c r="H207" s="11" t="inlineStr">
        <is>
          <t>DISPONÍVEL</t>
        </is>
      </c>
      <c r="I207" s="14" t="n"/>
      <c r="J207" s="15" t="n"/>
      <c r="K207" s="14">
        <f>IF(J207="","",J207-I207)</f>
        <v/>
      </c>
      <c r="L207" s="12">
        <f>IFERROR(VLOOKUP(D207,PRODUTOS!$A:$J,4,FALSE),"")</f>
        <v/>
      </c>
      <c r="M207" s="16" t="n"/>
      <c r="N207" s="11" t="n"/>
      <c r="O207" s="11" t="n"/>
      <c r="P207" s="13" t="n"/>
      <c r="Q207" s="11" t="n"/>
      <c r="R207" s="11" t="n"/>
      <c r="S207" s="11" t="n"/>
      <c r="T207" s="12">
        <f>IF(A207&lt;&gt;"SIM","NÃO MARCADA",IF(COUNTA(B207:H207,J207,M207:N207,P207:Q207)&lt;12,"PREENCHER OBRIGATÓRIOS",IF(OR(J207&lt;0,M207&lt;0),"VALOR INVÁLIDO","OK")))</f>
        <v/>
      </c>
    </row>
    <row r="208">
      <c r="A208" s="11" t="inlineStr">
        <is>
          <t>NÃO</t>
        </is>
      </c>
      <c r="B208" s="11" t="n"/>
      <c r="C208" s="11" t="n"/>
      <c r="D208" s="11" t="n"/>
      <c r="E208" s="12">
        <f>IFERROR(VLOOKUP(D208,PRODUTOS!$A:$J,2,FALSE),"")</f>
        <v/>
      </c>
      <c r="F208" s="11" t="n"/>
      <c r="G208" s="13" t="n"/>
      <c r="H208" s="11" t="inlineStr">
        <is>
          <t>DISPONÍVEL</t>
        </is>
      </c>
      <c r="I208" s="14" t="n"/>
      <c r="J208" s="15" t="n"/>
      <c r="K208" s="14">
        <f>IF(J208="","",J208-I208)</f>
        <v/>
      </c>
      <c r="L208" s="12">
        <f>IFERROR(VLOOKUP(D208,PRODUTOS!$A:$J,4,FALSE),"")</f>
        <v/>
      </c>
      <c r="M208" s="16" t="n"/>
      <c r="N208" s="11" t="n"/>
      <c r="O208" s="11" t="n"/>
      <c r="P208" s="13" t="n"/>
      <c r="Q208" s="11" t="n"/>
      <c r="R208" s="11" t="n"/>
      <c r="S208" s="11" t="n"/>
      <c r="T208" s="12">
        <f>IF(A208&lt;&gt;"SIM","NÃO MARCADA",IF(COUNTA(B208:H208,J208,M208:N208,P208:Q208)&lt;12,"PREENCHER OBRIGATÓRIOS",IF(OR(J208&lt;0,M208&lt;0),"VALOR INVÁLIDO","OK")))</f>
        <v/>
      </c>
    </row>
    <row r="209">
      <c r="A209" s="11" t="inlineStr">
        <is>
          <t>NÃO</t>
        </is>
      </c>
      <c r="B209" s="11" t="n"/>
      <c r="C209" s="11" t="n"/>
      <c r="D209" s="11" t="n"/>
      <c r="E209" s="12">
        <f>IFERROR(VLOOKUP(D209,PRODUTOS!$A:$J,2,FALSE),"")</f>
        <v/>
      </c>
      <c r="F209" s="11" t="n"/>
      <c r="G209" s="13" t="n"/>
      <c r="H209" s="11" t="inlineStr">
        <is>
          <t>DISPONÍVEL</t>
        </is>
      </c>
      <c r="I209" s="14" t="n"/>
      <c r="J209" s="15" t="n"/>
      <c r="K209" s="14">
        <f>IF(J209="","",J209-I209)</f>
        <v/>
      </c>
      <c r="L209" s="12">
        <f>IFERROR(VLOOKUP(D209,PRODUTOS!$A:$J,4,FALSE),"")</f>
        <v/>
      </c>
      <c r="M209" s="16" t="n"/>
      <c r="N209" s="11" t="n"/>
      <c r="O209" s="11" t="n"/>
      <c r="P209" s="13" t="n"/>
      <c r="Q209" s="11" t="n"/>
      <c r="R209" s="11" t="n"/>
      <c r="S209" s="11" t="n"/>
      <c r="T209" s="12">
        <f>IF(A209&lt;&gt;"SIM","NÃO MARCADA",IF(COUNTA(B209:H209,J209,M209:N209,P209:Q209)&lt;12,"PREENCHER OBRIGATÓRIOS",IF(OR(J209&lt;0,M209&lt;0),"VALOR INVÁLIDO","OK")))</f>
        <v/>
      </c>
    </row>
    <row r="210">
      <c r="A210" s="11" t="inlineStr">
        <is>
          <t>NÃO</t>
        </is>
      </c>
      <c r="B210" s="11" t="n"/>
      <c r="C210" s="11" t="n"/>
      <c r="D210" s="11" t="n"/>
      <c r="E210" s="12">
        <f>IFERROR(VLOOKUP(D210,PRODUTOS!$A:$J,2,FALSE),"")</f>
        <v/>
      </c>
      <c r="F210" s="11" t="n"/>
      <c r="G210" s="13" t="n"/>
      <c r="H210" s="11" t="inlineStr">
        <is>
          <t>DISPONÍVEL</t>
        </is>
      </c>
      <c r="I210" s="14" t="n"/>
      <c r="J210" s="15" t="n"/>
      <c r="K210" s="14">
        <f>IF(J210="","",J210-I210)</f>
        <v/>
      </c>
      <c r="L210" s="12">
        <f>IFERROR(VLOOKUP(D210,PRODUTOS!$A:$J,4,FALSE),"")</f>
        <v/>
      </c>
      <c r="M210" s="16" t="n"/>
      <c r="N210" s="11" t="n"/>
      <c r="O210" s="11" t="n"/>
      <c r="P210" s="13" t="n"/>
      <c r="Q210" s="11" t="n"/>
      <c r="R210" s="11" t="n"/>
      <c r="S210" s="11" t="n"/>
      <c r="T210" s="12">
        <f>IF(A210&lt;&gt;"SIM","NÃO MARCADA",IF(COUNTA(B210:H210,J210,M210:N210,P210:Q210)&lt;12,"PREENCHER OBRIGATÓRIOS",IF(OR(J210&lt;0,M210&lt;0),"VALOR INVÁLIDO","OK")))</f>
        <v/>
      </c>
    </row>
    <row r="211">
      <c r="A211" s="11" t="inlineStr">
        <is>
          <t>NÃO</t>
        </is>
      </c>
      <c r="B211" s="11" t="n"/>
      <c r="C211" s="11" t="n"/>
      <c r="D211" s="11" t="n"/>
      <c r="E211" s="12">
        <f>IFERROR(VLOOKUP(D211,PRODUTOS!$A:$J,2,FALSE),"")</f>
        <v/>
      </c>
      <c r="F211" s="11" t="n"/>
      <c r="G211" s="13" t="n"/>
      <c r="H211" s="11" t="inlineStr">
        <is>
          <t>DISPONÍVEL</t>
        </is>
      </c>
      <c r="I211" s="14" t="n"/>
      <c r="J211" s="15" t="n"/>
      <c r="K211" s="14">
        <f>IF(J211="","",J211-I211)</f>
        <v/>
      </c>
      <c r="L211" s="12">
        <f>IFERROR(VLOOKUP(D211,PRODUTOS!$A:$J,4,FALSE),"")</f>
        <v/>
      </c>
      <c r="M211" s="16" t="n"/>
      <c r="N211" s="11" t="n"/>
      <c r="O211" s="11" t="n"/>
      <c r="P211" s="13" t="n"/>
      <c r="Q211" s="11" t="n"/>
      <c r="R211" s="11" t="n"/>
      <c r="S211" s="11" t="n"/>
      <c r="T211" s="12">
        <f>IF(A211&lt;&gt;"SIM","NÃO MARCADA",IF(COUNTA(B211:H211,J211,M211:N211,P211:Q211)&lt;12,"PREENCHER OBRIGATÓRIOS",IF(OR(J211&lt;0,M211&lt;0),"VALOR INVÁLIDO","OK")))</f>
        <v/>
      </c>
    </row>
    <row r="212">
      <c r="A212" s="11" t="inlineStr">
        <is>
          <t>NÃO</t>
        </is>
      </c>
      <c r="B212" s="11" t="n"/>
      <c r="C212" s="11" t="n"/>
      <c r="D212" s="11" t="n"/>
      <c r="E212" s="12">
        <f>IFERROR(VLOOKUP(D212,PRODUTOS!$A:$J,2,FALSE),"")</f>
        <v/>
      </c>
      <c r="F212" s="11" t="n"/>
      <c r="G212" s="13" t="n"/>
      <c r="H212" s="11" t="inlineStr">
        <is>
          <t>DISPONÍVEL</t>
        </is>
      </c>
      <c r="I212" s="14" t="n"/>
      <c r="J212" s="15" t="n"/>
      <c r="K212" s="14">
        <f>IF(J212="","",J212-I212)</f>
        <v/>
      </c>
      <c r="L212" s="12">
        <f>IFERROR(VLOOKUP(D212,PRODUTOS!$A:$J,4,FALSE),"")</f>
        <v/>
      </c>
      <c r="M212" s="16" t="n"/>
      <c r="N212" s="11" t="n"/>
      <c r="O212" s="11" t="n"/>
      <c r="P212" s="13" t="n"/>
      <c r="Q212" s="11" t="n"/>
      <c r="R212" s="11" t="n"/>
      <c r="S212" s="11" t="n"/>
      <c r="T212" s="12">
        <f>IF(A212&lt;&gt;"SIM","NÃO MARCADA",IF(COUNTA(B212:H212,J212,M212:N212,P212:Q212)&lt;12,"PREENCHER OBRIGATÓRIOS",IF(OR(J212&lt;0,M212&lt;0),"VALOR INVÁLIDO","OK")))</f>
        <v/>
      </c>
    </row>
    <row r="213">
      <c r="A213" s="11" t="inlineStr">
        <is>
          <t>NÃO</t>
        </is>
      </c>
      <c r="B213" s="11" t="n"/>
      <c r="C213" s="11" t="n"/>
      <c r="D213" s="11" t="n"/>
      <c r="E213" s="12">
        <f>IFERROR(VLOOKUP(D213,PRODUTOS!$A:$J,2,FALSE),"")</f>
        <v/>
      </c>
      <c r="F213" s="11" t="n"/>
      <c r="G213" s="13" t="n"/>
      <c r="H213" s="11" t="inlineStr">
        <is>
          <t>DISPONÍVEL</t>
        </is>
      </c>
      <c r="I213" s="14" t="n"/>
      <c r="J213" s="15" t="n"/>
      <c r="K213" s="14">
        <f>IF(J213="","",J213-I213)</f>
        <v/>
      </c>
      <c r="L213" s="12">
        <f>IFERROR(VLOOKUP(D213,PRODUTOS!$A:$J,4,FALSE),"")</f>
        <v/>
      </c>
      <c r="M213" s="16" t="n"/>
      <c r="N213" s="11" t="n"/>
      <c r="O213" s="11" t="n"/>
      <c r="P213" s="13" t="n"/>
      <c r="Q213" s="11" t="n"/>
      <c r="R213" s="11" t="n"/>
      <c r="S213" s="11" t="n"/>
      <c r="T213" s="12">
        <f>IF(A213&lt;&gt;"SIM","NÃO MARCADA",IF(COUNTA(B213:H213,J213,M213:N213,P213:Q213)&lt;12,"PREENCHER OBRIGATÓRIOS",IF(OR(J213&lt;0,M213&lt;0),"VALOR INVÁLIDO","OK")))</f>
        <v/>
      </c>
    </row>
    <row r="214">
      <c r="A214" s="11" t="inlineStr">
        <is>
          <t>NÃO</t>
        </is>
      </c>
      <c r="B214" s="11" t="n"/>
      <c r="C214" s="11" t="n"/>
      <c r="D214" s="11" t="n"/>
      <c r="E214" s="12">
        <f>IFERROR(VLOOKUP(D214,PRODUTOS!$A:$J,2,FALSE),"")</f>
        <v/>
      </c>
      <c r="F214" s="11" t="n"/>
      <c r="G214" s="13" t="n"/>
      <c r="H214" s="11" t="inlineStr">
        <is>
          <t>DISPONÍVEL</t>
        </is>
      </c>
      <c r="I214" s="14" t="n"/>
      <c r="J214" s="15" t="n"/>
      <c r="K214" s="14">
        <f>IF(J214="","",J214-I214)</f>
        <v/>
      </c>
      <c r="L214" s="12">
        <f>IFERROR(VLOOKUP(D214,PRODUTOS!$A:$J,4,FALSE),"")</f>
        <v/>
      </c>
      <c r="M214" s="16" t="n"/>
      <c r="N214" s="11" t="n"/>
      <c r="O214" s="11" t="n"/>
      <c r="P214" s="13" t="n"/>
      <c r="Q214" s="11" t="n"/>
      <c r="R214" s="11" t="n"/>
      <c r="S214" s="11" t="n"/>
      <c r="T214" s="12">
        <f>IF(A214&lt;&gt;"SIM","NÃO MARCADA",IF(COUNTA(B214:H214,J214,M214:N214,P214:Q214)&lt;12,"PREENCHER OBRIGATÓRIOS",IF(OR(J214&lt;0,M214&lt;0),"VALOR INVÁLIDO","OK")))</f>
        <v/>
      </c>
    </row>
    <row r="215">
      <c r="A215" s="11" t="inlineStr">
        <is>
          <t>NÃO</t>
        </is>
      </c>
      <c r="B215" s="11" t="n"/>
      <c r="C215" s="11" t="n"/>
      <c r="D215" s="11" t="n"/>
      <c r="E215" s="12">
        <f>IFERROR(VLOOKUP(D215,PRODUTOS!$A:$J,2,FALSE),"")</f>
        <v/>
      </c>
      <c r="F215" s="11" t="n"/>
      <c r="G215" s="13" t="n"/>
      <c r="H215" s="11" t="inlineStr">
        <is>
          <t>DISPONÍVEL</t>
        </is>
      </c>
      <c r="I215" s="14" t="n"/>
      <c r="J215" s="15" t="n"/>
      <c r="K215" s="14">
        <f>IF(J215="","",J215-I215)</f>
        <v/>
      </c>
      <c r="L215" s="12">
        <f>IFERROR(VLOOKUP(D215,PRODUTOS!$A:$J,4,FALSE),"")</f>
        <v/>
      </c>
      <c r="M215" s="16" t="n"/>
      <c r="N215" s="11" t="n"/>
      <c r="O215" s="11" t="n"/>
      <c r="P215" s="13" t="n"/>
      <c r="Q215" s="11" t="n"/>
      <c r="R215" s="11" t="n"/>
      <c r="S215" s="11" t="n"/>
      <c r="T215" s="12">
        <f>IF(A215&lt;&gt;"SIM","NÃO MARCADA",IF(COUNTA(B215:H215,J215,M215:N215,P215:Q215)&lt;12,"PREENCHER OBRIGATÓRIOS",IF(OR(J215&lt;0,M215&lt;0),"VALOR INVÁLIDO","OK")))</f>
        <v/>
      </c>
    </row>
    <row r="216">
      <c r="A216" s="11" t="inlineStr">
        <is>
          <t>NÃO</t>
        </is>
      </c>
      <c r="B216" s="11" t="n"/>
      <c r="C216" s="11" t="n"/>
      <c r="D216" s="11" t="n"/>
      <c r="E216" s="12">
        <f>IFERROR(VLOOKUP(D216,PRODUTOS!$A:$J,2,FALSE),"")</f>
        <v/>
      </c>
      <c r="F216" s="11" t="n"/>
      <c r="G216" s="13" t="n"/>
      <c r="H216" s="11" t="inlineStr">
        <is>
          <t>DISPONÍVEL</t>
        </is>
      </c>
      <c r="I216" s="14" t="n"/>
      <c r="J216" s="15" t="n"/>
      <c r="K216" s="14">
        <f>IF(J216="","",J216-I216)</f>
        <v/>
      </c>
      <c r="L216" s="12">
        <f>IFERROR(VLOOKUP(D216,PRODUTOS!$A:$J,4,FALSE),"")</f>
        <v/>
      </c>
      <c r="M216" s="16" t="n"/>
      <c r="N216" s="11" t="n"/>
      <c r="O216" s="11" t="n"/>
      <c r="P216" s="13" t="n"/>
      <c r="Q216" s="11" t="n"/>
      <c r="R216" s="11" t="n"/>
      <c r="S216" s="11" t="n"/>
      <c r="T216" s="12">
        <f>IF(A216&lt;&gt;"SIM","NÃO MARCADA",IF(COUNTA(B216:H216,J216,M216:N216,P216:Q216)&lt;12,"PREENCHER OBRIGATÓRIOS",IF(OR(J216&lt;0,M216&lt;0),"VALOR INVÁLIDO","OK")))</f>
        <v/>
      </c>
    </row>
    <row r="217">
      <c r="A217" s="11" t="inlineStr">
        <is>
          <t>NÃO</t>
        </is>
      </c>
      <c r="B217" s="11" t="n"/>
      <c r="C217" s="11" t="n"/>
      <c r="D217" s="11" t="n"/>
      <c r="E217" s="12">
        <f>IFERROR(VLOOKUP(D217,PRODUTOS!$A:$J,2,FALSE),"")</f>
        <v/>
      </c>
      <c r="F217" s="11" t="n"/>
      <c r="G217" s="13" t="n"/>
      <c r="H217" s="11" t="inlineStr">
        <is>
          <t>DISPONÍVEL</t>
        </is>
      </c>
      <c r="I217" s="14" t="n"/>
      <c r="J217" s="15" t="n"/>
      <c r="K217" s="14">
        <f>IF(J217="","",J217-I217)</f>
        <v/>
      </c>
      <c r="L217" s="12">
        <f>IFERROR(VLOOKUP(D217,PRODUTOS!$A:$J,4,FALSE),"")</f>
        <v/>
      </c>
      <c r="M217" s="16" t="n"/>
      <c r="N217" s="11" t="n"/>
      <c r="O217" s="11" t="n"/>
      <c r="P217" s="13" t="n"/>
      <c r="Q217" s="11" t="n"/>
      <c r="R217" s="11" t="n"/>
      <c r="S217" s="11" t="n"/>
      <c r="T217" s="12">
        <f>IF(A217&lt;&gt;"SIM","NÃO MARCADA",IF(COUNTA(B217:H217,J217,M217:N217,P217:Q217)&lt;12,"PREENCHER OBRIGATÓRIOS",IF(OR(J217&lt;0,M217&lt;0),"VALOR INVÁLIDO","OK")))</f>
        <v/>
      </c>
    </row>
    <row r="218">
      <c r="A218" s="11" t="inlineStr">
        <is>
          <t>NÃO</t>
        </is>
      </c>
      <c r="B218" s="11" t="n"/>
      <c r="C218" s="11" t="n"/>
      <c r="D218" s="11" t="n"/>
      <c r="E218" s="12">
        <f>IFERROR(VLOOKUP(D218,PRODUTOS!$A:$J,2,FALSE),"")</f>
        <v/>
      </c>
      <c r="F218" s="11" t="n"/>
      <c r="G218" s="13" t="n"/>
      <c r="H218" s="11" t="inlineStr">
        <is>
          <t>DISPONÍVEL</t>
        </is>
      </c>
      <c r="I218" s="14" t="n"/>
      <c r="J218" s="15" t="n"/>
      <c r="K218" s="14">
        <f>IF(J218="","",J218-I218)</f>
        <v/>
      </c>
      <c r="L218" s="12">
        <f>IFERROR(VLOOKUP(D218,PRODUTOS!$A:$J,4,FALSE),"")</f>
        <v/>
      </c>
      <c r="M218" s="16" t="n"/>
      <c r="N218" s="11" t="n"/>
      <c r="O218" s="11" t="n"/>
      <c r="P218" s="13" t="n"/>
      <c r="Q218" s="11" t="n"/>
      <c r="R218" s="11" t="n"/>
      <c r="S218" s="11" t="n"/>
      <c r="T218" s="12">
        <f>IF(A218&lt;&gt;"SIM","NÃO MARCADA",IF(COUNTA(B218:H218,J218,M218:N218,P218:Q218)&lt;12,"PREENCHER OBRIGATÓRIOS",IF(OR(J218&lt;0,M218&lt;0),"VALOR INVÁLIDO","OK")))</f>
        <v/>
      </c>
    </row>
    <row r="219">
      <c r="A219" s="11" t="inlineStr">
        <is>
          <t>NÃO</t>
        </is>
      </c>
      <c r="B219" s="11" t="n"/>
      <c r="C219" s="11" t="n"/>
      <c r="D219" s="11" t="n"/>
      <c r="E219" s="12">
        <f>IFERROR(VLOOKUP(D219,PRODUTOS!$A:$J,2,FALSE),"")</f>
        <v/>
      </c>
      <c r="F219" s="11" t="n"/>
      <c r="G219" s="13" t="n"/>
      <c r="H219" s="11" t="inlineStr">
        <is>
          <t>DISPONÍVEL</t>
        </is>
      </c>
      <c r="I219" s="14" t="n"/>
      <c r="J219" s="15" t="n"/>
      <c r="K219" s="14">
        <f>IF(J219="","",J219-I219)</f>
        <v/>
      </c>
      <c r="L219" s="12">
        <f>IFERROR(VLOOKUP(D219,PRODUTOS!$A:$J,4,FALSE),"")</f>
        <v/>
      </c>
      <c r="M219" s="16" t="n"/>
      <c r="N219" s="11" t="n"/>
      <c r="O219" s="11" t="n"/>
      <c r="P219" s="13" t="n"/>
      <c r="Q219" s="11" t="n"/>
      <c r="R219" s="11" t="n"/>
      <c r="S219" s="11" t="n"/>
      <c r="T219" s="12">
        <f>IF(A219&lt;&gt;"SIM","NÃO MARCADA",IF(COUNTA(B219:H219,J219,M219:N219,P219:Q219)&lt;12,"PREENCHER OBRIGATÓRIOS",IF(OR(J219&lt;0,M219&lt;0),"VALOR INVÁLIDO","OK")))</f>
        <v/>
      </c>
    </row>
    <row r="220">
      <c r="A220" s="11" t="inlineStr">
        <is>
          <t>NÃO</t>
        </is>
      </c>
      <c r="B220" s="11" t="n"/>
      <c r="C220" s="11" t="n"/>
      <c r="D220" s="11" t="n"/>
      <c r="E220" s="12">
        <f>IFERROR(VLOOKUP(D220,PRODUTOS!$A:$J,2,FALSE),"")</f>
        <v/>
      </c>
      <c r="F220" s="11" t="n"/>
      <c r="G220" s="13" t="n"/>
      <c r="H220" s="11" t="inlineStr">
        <is>
          <t>DISPONÍVEL</t>
        </is>
      </c>
      <c r="I220" s="14" t="n"/>
      <c r="J220" s="15" t="n"/>
      <c r="K220" s="14">
        <f>IF(J220="","",J220-I220)</f>
        <v/>
      </c>
      <c r="L220" s="12">
        <f>IFERROR(VLOOKUP(D220,PRODUTOS!$A:$J,4,FALSE),"")</f>
        <v/>
      </c>
      <c r="M220" s="16" t="n"/>
      <c r="N220" s="11" t="n"/>
      <c r="O220" s="11" t="n"/>
      <c r="P220" s="13" t="n"/>
      <c r="Q220" s="11" t="n"/>
      <c r="R220" s="11" t="n"/>
      <c r="S220" s="11" t="n"/>
      <c r="T220" s="12">
        <f>IF(A220&lt;&gt;"SIM","NÃO MARCADA",IF(COUNTA(B220:H220,J220,M220:N220,P220:Q220)&lt;12,"PREENCHER OBRIGATÓRIOS",IF(OR(J220&lt;0,M220&lt;0),"VALOR INVÁLIDO","OK")))</f>
        <v/>
      </c>
    </row>
    <row r="221">
      <c r="A221" s="11" t="inlineStr">
        <is>
          <t>NÃO</t>
        </is>
      </c>
      <c r="B221" s="11" t="n"/>
      <c r="C221" s="11" t="n"/>
      <c r="D221" s="11" t="n"/>
      <c r="E221" s="12">
        <f>IFERROR(VLOOKUP(D221,PRODUTOS!$A:$J,2,FALSE),"")</f>
        <v/>
      </c>
      <c r="F221" s="11" t="n"/>
      <c r="G221" s="13" t="n"/>
      <c r="H221" s="11" t="inlineStr">
        <is>
          <t>DISPONÍVEL</t>
        </is>
      </c>
      <c r="I221" s="14" t="n"/>
      <c r="J221" s="15" t="n"/>
      <c r="K221" s="14">
        <f>IF(J221="","",J221-I221)</f>
        <v/>
      </c>
      <c r="L221" s="12">
        <f>IFERROR(VLOOKUP(D221,PRODUTOS!$A:$J,4,FALSE),"")</f>
        <v/>
      </c>
      <c r="M221" s="16" t="n"/>
      <c r="N221" s="11" t="n"/>
      <c r="O221" s="11" t="n"/>
      <c r="P221" s="13" t="n"/>
      <c r="Q221" s="11" t="n"/>
      <c r="R221" s="11" t="n"/>
      <c r="S221" s="11" t="n"/>
      <c r="T221" s="12">
        <f>IF(A221&lt;&gt;"SIM","NÃO MARCADA",IF(COUNTA(B221:H221,J221,M221:N221,P221:Q221)&lt;12,"PREENCHER OBRIGATÓRIOS",IF(OR(J221&lt;0,M221&lt;0),"VALOR INVÁLIDO","OK")))</f>
        <v/>
      </c>
    </row>
    <row r="222">
      <c r="A222" s="11" t="inlineStr">
        <is>
          <t>NÃO</t>
        </is>
      </c>
      <c r="B222" s="11" t="n"/>
      <c r="C222" s="11" t="n"/>
      <c r="D222" s="11" t="n"/>
      <c r="E222" s="12">
        <f>IFERROR(VLOOKUP(D222,PRODUTOS!$A:$J,2,FALSE),"")</f>
        <v/>
      </c>
      <c r="F222" s="11" t="n"/>
      <c r="G222" s="13" t="n"/>
      <c r="H222" s="11" t="inlineStr">
        <is>
          <t>DISPONÍVEL</t>
        </is>
      </c>
      <c r="I222" s="14" t="n"/>
      <c r="J222" s="15" t="n"/>
      <c r="K222" s="14">
        <f>IF(J222="","",J222-I222)</f>
        <v/>
      </c>
      <c r="L222" s="12">
        <f>IFERROR(VLOOKUP(D222,PRODUTOS!$A:$J,4,FALSE),"")</f>
        <v/>
      </c>
      <c r="M222" s="16" t="n"/>
      <c r="N222" s="11" t="n"/>
      <c r="O222" s="11" t="n"/>
      <c r="P222" s="13" t="n"/>
      <c r="Q222" s="11" t="n"/>
      <c r="R222" s="11" t="n"/>
      <c r="S222" s="11" t="n"/>
      <c r="T222" s="12">
        <f>IF(A222&lt;&gt;"SIM","NÃO MARCADA",IF(COUNTA(B222:H222,J222,M222:N222,P222:Q222)&lt;12,"PREENCHER OBRIGATÓRIOS",IF(OR(J222&lt;0,M222&lt;0),"VALOR INVÁLIDO","OK")))</f>
        <v/>
      </c>
    </row>
    <row r="223">
      <c r="A223" s="11" t="inlineStr">
        <is>
          <t>NÃO</t>
        </is>
      </c>
      <c r="B223" s="11" t="n"/>
      <c r="C223" s="11" t="n"/>
      <c r="D223" s="11" t="n"/>
      <c r="E223" s="12">
        <f>IFERROR(VLOOKUP(D223,PRODUTOS!$A:$J,2,FALSE),"")</f>
        <v/>
      </c>
      <c r="F223" s="11" t="n"/>
      <c r="G223" s="13" t="n"/>
      <c r="H223" s="11" t="inlineStr">
        <is>
          <t>DISPONÍVEL</t>
        </is>
      </c>
      <c r="I223" s="14" t="n"/>
      <c r="J223" s="15" t="n"/>
      <c r="K223" s="14">
        <f>IF(J223="","",J223-I223)</f>
        <v/>
      </c>
      <c r="L223" s="12">
        <f>IFERROR(VLOOKUP(D223,PRODUTOS!$A:$J,4,FALSE),"")</f>
        <v/>
      </c>
      <c r="M223" s="16" t="n"/>
      <c r="N223" s="11" t="n"/>
      <c r="O223" s="11" t="n"/>
      <c r="P223" s="13" t="n"/>
      <c r="Q223" s="11" t="n"/>
      <c r="R223" s="11" t="n"/>
      <c r="S223" s="11" t="n"/>
      <c r="T223" s="12">
        <f>IF(A223&lt;&gt;"SIM","NÃO MARCADA",IF(COUNTA(B223:H223,J223,M223:N223,P223:Q223)&lt;12,"PREENCHER OBRIGATÓRIOS",IF(OR(J223&lt;0,M223&lt;0),"VALOR INVÁLIDO","OK")))</f>
        <v/>
      </c>
    </row>
    <row r="224">
      <c r="A224" s="11" t="inlineStr">
        <is>
          <t>NÃO</t>
        </is>
      </c>
      <c r="B224" s="11" t="n"/>
      <c r="C224" s="11" t="n"/>
      <c r="D224" s="11" t="n"/>
      <c r="E224" s="12">
        <f>IFERROR(VLOOKUP(D224,PRODUTOS!$A:$J,2,FALSE),"")</f>
        <v/>
      </c>
      <c r="F224" s="11" t="n"/>
      <c r="G224" s="13" t="n"/>
      <c r="H224" s="11" t="inlineStr">
        <is>
          <t>DISPONÍVEL</t>
        </is>
      </c>
      <c r="I224" s="14" t="n"/>
      <c r="J224" s="15" t="n"/>
      <c r="K224" s="14">
        <f>IF(J224="","",J224-I224)</f>
        <v/>
      </c>
      <c r="L224" s="12">
        <f>IFERROR(VLOOKUP(D224,PRODUTOS!$A:$J,4,FALSE),"")</f>
        <v/>
      </c>
      <c r="M224" s="16" t="n"/>
      <c r="N224" s="11" t="n"/>
      <c r="O224" s="11" t="n"/>
      <c r="P224" s="13" t="n"/>
      <c r="Q224" s="11" t="n"/>
      <c r="R224" s="11" t="n"/>
      <c r="S224" s="11" t="n"/>
      <c r="T224" s="12">
        <f>IF(A224&lt;&gt;"SIM","NÃO MARCADA",IF(COUNTA(B224:H224,J224,M224:N224,P224:Q224)&lt;12,"PREENCHER OBRIGATÓRIOS",IF(OR(J224&lt;0,M224&lt;0),"VALOR INVÁLIDO","OK")))</f>
        <v/>
      </c>
    </row>
    <row r="225">
      <c r="A225" s="11" t="inlineStr">
        <is>
          <t>NÃO</t>
        </is>
      </c>
      <c r="B225" s="11" t="n"/>
      <c r="C225" s="11" t="n"/>
      <c r="D225" s="11" t="n"/>
      <c r="E225" s="12">
        <f>IFERROR(VLOOKUP(D225,PRODUTOS!$A:$J,2,FALSE),"")</f>
        <v/>
      </c>
      <c r="F225" s="11" t="n"/>
      <c r="G225" s="13" t="n"/>
      <c r="H225" s="11" t="inlineStr">
        <is>
          <t>DISPONÍVEL</t>
        </is>
      </c>
      <c r="I225" s="14" t="n"/>
      <c r="J225" s="15" t="n"/>
      <c r="K225" s="14">
        <f>IF(J225="","",J225-I225)</f>
        <v/>
      </c>
      <c r="L225" s="12">
        <f>IFERROR(VLOOKUP(D225,PRODUTOS!$A:$J,4,FALSE),"")</f>
        <v/>
      </c>
      <c r="M225" s="16" t="n"/>
      <c r="N225" s="11" t="n"/>
      <c r="O225" s="11" t="n"/>
      <c r="P225" s="13" t="n"/>
      <c r="Q225" s="11" t="n"/>
      <c r="R225" s="11" t="n"/>
      <c r="S225" s="11" t="n"/>
      <c r="T225" s="12">
        <f>IF(A225&lt;&gt;"SIM","NÃO MARCADA",IF(COUNTA(B225:H225,J225,M225:N225,P225:Q225)&lt;12,"PREENCHER OBRIGATÓRIOS",IF(OR(J225&lt;0,M225&lt;0),"VALOR INVÁLIDO","OK")))</f>
        <v/>
      </c>
    </row>
    <row r="226">
      <c r="A226" s="11" t="inlineStr">
        <is>
          <t>NÃO</t>
        </is>
      </c>
      <c r="B226" s="11" t="n"/>
      <c r="C226" s="11" t="n"/>
      <c r="D226" s="11" t="n"/>
      <c r="E226" s="12">
        <f>IFERROR(VLOOKUP(D226,PRODUTOS!$A:$J,2,FALSE),"")</f>
        <v/>
      </c>
      <c r="F226" s="11" t="n"/>
      <c r="G226" s="13" t="n"/>
      <c r="H226" s="11" t="inlineStr">
        <is>
          <t>DISPONÍVEL</t>
        </is>
      </c>
      <c r="I226" s="14" t="n"/>
      <c r="J226" s="15" t="n"/>
      <c r="K226" s="14">
        <f>IF(J226="","",J226-I226)</f>
        <v/>
      </c>
      <c r="L226" s="12">
        <f>IFERROR(VLOOKUP(D226,PRODUTOS!$A:$J,4,FALSE),"")</f>
        <v/>
      </c>
      <c r="M226" s="16" t="n"/>
      <c r="N226" s="11" t="n"/>
      <c r="O226" s="11" t="n"/>
      <c r="P226" s="13" t="n"/>
      <c r="Q226" s="11" t="n"/>
      <c r="R226" s="11" t="n"/>
      <c r="S226" s="11" t="n"/>
      <c r="T226" s="12">
        <f>IF(A226&lt;&gt;"SIM","NÃO MARCADA",IF(COUNTA(B226:H226,J226,M226:N226,P226:Q226)&lt;12,"PREENCHER OBRIGATÓRIOS",IF(OR(J226&lt;0,M226&lt;0),"VALOR INVÁLIDO","OK")))</f>
        <v/>
      </c>
    </row>
    <row r="227">
      <c r="A227" s="11" t="inlineStr">
        <is>
          <t>NÃO</t>
        </is>
      </c>
      <c r="B227" s="11" t="n"/>
      <c r="C227" s="11" t="n"/>
      <c r="D227" s="11" t="n"/>
      <c r="E227" s="12">
        <f>IFERROR(VLOOKUP(D227,PRODUTOS!$A:$J,2,FALSE),"")</f>
        <v/>
      </c>
      <c r="F227" s="11" t="n"/>
      <c r="G227" s="13" t="n"/>
      <c r="H227" s="11" t="inlineStr">
        <is>
          <t>DISPONÍVEL</t>
        </is>
      </c>
      <c r="I227" s="14" t="n"/>
      <c r="J227" s="15" t="n"/>
      <c r="K227" s="14">
        <f>IF(J227="","",J227-I227)</f>
        <v/>
      </c>
      <c r="L227" s="12">
        <f>IFERROR(VLOOKUP(D227,PRODUTOS!$A:$J,4,FALSE),"")</f>
        <v/>
      </c>
      <c r="M227" s="16" t="n"/>
      <c r="N227" s="11" t="n"/>
      <c r="O227" s="11" t="n"/>
      <c r="P227" s="13" t="n"/>
      <c r="Q227" s="11" t="n"/>
      <c r="R227" s="11" t="n"/>
      <c r="S227" s="11" t="n"/>
      <c r="T227" s="12">
        <f>IF(A227&lt;&gt;"SIM","NÃO MARCADA",IF(COUNTA(B227:H227,J227,M227:N227,P227:Q227)&lt;12,"PREENCHER OBRIGATÓRIOS",IF(OR(J227&lt;0,M227&lt;0),"VALOR INVÁLIDO","OK")))</f>
        <v/>
      </c>
    </row>
    <row r="228">
      <c r="A228" s="11" t="inlineStr">
        <is>
          <t>NÃO</t>
        </is>
      </c>
      <c r="B228" s="11" t="n"/>
      <c r="C228" s="11" t="n"/>
      <c r="D228" s="11" t="n"/>
      <c r="E228" s="12">
        <f>IFERROR(VLOOKUP(D228,PRODUTOS!$A:$J,2,FALSE),"")</f>
        <v/>
      </c>
      <c r="F228" s="11" t="n"/>
      <c r="G228" s="13" t="n"/>
      <c r="H228" s="11" t="inlineStr">
        <is>
          <t>DISPONÍVEL</t>
        </is>
      </c>
      <c r="I228" s="14" t="n"/>
      <c r="J228" s="15" t="n"/>
      <c r="K228" s="14">
        <f>IF(J228="","",J228-I228)</f>
        <v/>
      </c>
      <c r="L228" s="12">
        <f>IFERROR(VLOOKUP(D228,PRODUTOS!$A:$J,4,FALSE),"")</f>
        <v/>
      </c>
      <c r="M228" s="16" t="n"/>
      <c r="N228" s="11" t="n"/>
      <c r="O228" s="11" t="n"/>
      <c r="P228" s="13" t="n"/>
      <c r="Q228" s="11" t="n"/>
      <c r="R228" s="11" t="n"/>
      <c r="S228" s="11" t="n"/>
      <c r="T228" s="12">
        <f>IF(A228&lt;&gt;"SIM","NÃO MARCADA",IF(COUNTA(B228:H228,J228,M228:N228,P228:Q228)&lt;12,"PREENCHER OBRIGATÓRIOS",IF(OR(J228&lt;0,M228&lt;0),"VALOR INVÁLIDO","OK")))</f>
        <v/>
      </c>
    </row>
    <row r="229">
      <c r="A229" s="11" t="inlineStr">
        <is>
          <t>NÃO</t>
        </is>
      </c>
      <c r="B229" s="11" t="n"/>
      <c r="C229" s="11" t="n"/>
      <c r="D229" s="11" t="n"/>
      <c r="E229" s="12">
        <f>IFERROR(VLOOKUP(D229,PRODUTOS!$A:$J,2,FALSE),"")</f>
        <v/>
      </c>
      <c r="F229" s="11" t="n"/>
      <c r="G229" s="13" t="n"/>
      <c r="H229" s="11" t="inlineStr">
        <is>
          <t>DISPONÍVEL</t>
        </is>
      </c>
      <c r="I229" s="14" t="n"/>
      <c r="J229" s="15" t="n"/>
      <c r="K229" s="14">
        <f>IF(J229="","",J229-I229)</f>
        <v/>
      </c>
      <c r="L229" s="12">
        <f>IFERROR(VLOOKUP(D229,PRODUTOS!$A:$J,4,FALSE),"")</f>
        <v/>
      </c>
      <c r="M229" s="16" t="n"/>
      <c r="N229" s="11" t="n"/>
      <c r="O229" s="11" t="n"/>
      <c r="P229" s="13" t="n"/>
      <c r="Q229" s="11" t="n"/>
      <c r="R229" s="11" t="n"/>
      <c r="S229" s="11" t="n"/>
      <c r="T229" s="12">
        <f>IF(A229&lt;&gt;"SIM","NÃO MARCADA",IF(COUNTA(B229:H229,J229,M229:N229,P229:Q229)&lt;12,"PREENCHER OBRIGATÓRIOS",IF(OR(J229&lt;0,M229&lt;0),"VALOR INVÁLIDO","OK")))</f>
        <v/>
      </c>
    </row>
    <row r="230">
      <c r="A230" s="11" t="inlineStr">
        <is>
          <t>NÃO</t>
        </is>
      </c>
      <c r="B230" s="11" t="n"/>
      <c r="C230" s="11" t="n"/>
      <c r="D230" s="11" t="n"/>
      <c r="E230" s="12">
        <f>IFERROR(VLOOKUP(D230,PRODUTOS!$A:$J,2,FALSE),"")</f>
        <v/>
      </c>
      <c r="F230" s="11" t="n"/>
      <c r="G230" s="13" t="n"/>
      <c r="H230" s="11" t="inlineStr">
        <is>
          <t>DISPONÍVEL</t>
        </is>
      </c>
      <c r="I230" s="14" t="n"/>
      <c r="J230" s="15" t="n"/>
      <c r="K230" s="14">
        <f>IF(J230="","",J230-I230)</f>
        <v/>
      </c>
      <c r="L230" s="12">
        <f>IFERROR(VLOOKUP(D230,PRODUTOS!$A:$J,4,FALSE),"")</f>
        <v/>
      </c>
      <c r="M230" s="16" t="n"/>
      <c r="N230" s="11" t="n"/>
      <c r="O230" s="11" t="n"/>
      <c r="P230" s="13" t="n"/>
      <c r="Q230" s="11" t="n"/>
      <c r="R230" s="11" t="n"/>
      <c r="S230" s="11" t="n"/>
      <c r="T230" s="12">
        <f>IF(A230&lt;&gt;"SIM","NÃO MARCADA",IF(COUNTA(B230:H230,J230,M230:N230,P230:Q230)&lt;12,"PREENCHER OBRIGATÓRIOS",IF(OR(J230&lt;0,M230&lt;0),"VALOR INVÁLIDO","OK")))</f>
        <v/>
      </c>
    </row>
    <row r="231">
      <c r="A231" s="11" t="inlineStr">
        <is>
          <t>NÃO</t>
        </is>
      </c>
      <c r="B231" s="11" t="n"/>
      <c r="C231" s="11" t="n"/>
      <c r="D231" s="11" t="n"/>
      <c r="E231" s="12">
        <f>IFERROR(VLOOKUP(D231,PRODUTOS!$A:$J,2,FALSE),"")</f>
        <v/>
      </c>
      <c r="F231" s="11" t="n"/>
      <c r="G231" s="13" t="n"/>
      <c r="H231" s="11" t="inlineStr">
        <is>
          <t>DISPONÍVEL</t>
        </is>
      </c>
      <c r="I231" s="14" t="n"/>
      <c r="J231" s="15" t="n"/>
      <c r="K231" s="14">
        <f>IF(J231="","",J231-I231)</f>
        <v/>
      </c>
      <c r="L231" s="12">
        <f>IFERROR(VLOOKUP(D231,PRODUTOS!$A:$J,4,FALSE),"")</f>
        <v/>
      </c>
      <c r="M231" s="16" t="n"/>
      <c r="N231" s="11" t="n"/>
      <c r="O231" s="11" t="n"/>
      <c r="P231" s="13" t="n"/>
      <c r="Q231" s="11" t="n"/>
      <c r="R231" s="11" t="n"/>
      <c r="S231" s="11" t="n"/>
      <c r="T231" s="12">
        <f>IF(A231&lt;&gt;"SIM","NÃO MARCADA",IF(COUNTA(B231:H231,J231,M231:N231,P231:Q231)&lt;12,"PREENCHER OBRIGATÓRIOS",IF(OR(J231&lt;0,M231&lt;0),"VALOR INVÁLIDO","OK")))</f>
        <v/>
      </c>
    </row>
    <row r="232">
      <c r="A232" s="11" t="inlineStr">
        <is>
          <t>NÃO</t>
        </is>
      </c>
      <c r="B232" s="11" t="n"/>
      <c r="C232" s="11" t="n"/>
      <c r="D232" s="11" t="n"/>
      <c r="E232" s="12">
        <f>IFERROR(VLOOKUP(D232,PRODUTOS!$A:$J,2,FALSE),"")</f>
        <v/>
      </c>
      <c r="F232" s="11" t="n"/>
      <c r="G232" s="13" t="n"/>
      <c r="H232" s="11" t="inlineStr">
        <is>
          <t>DISPONÍVEL</t>
        </is>
      </c>
      <c r="I232" s="14" t="n"/>
      <c r="J232" s="15" t="n"/>
      <c r="K232" s="14">
        <f>IF(J232="","",J232-I232)</f>
        <v/>
      </c>
      <c r="L232" s="12">
        <f>IFERROR(VLOOKUP(D232,PRODUTOS!$A:$J,4,FALSE),"")</f>
        <v/>
      </c>
      <c r="M232" s="16" t="n"/>
      <c r="N232" s="11" t="n"/>
      <c r="O232" s="11" t="n"/>
      <c r="P232" s="13" t="n"/>
      <c r="Q232" s="11" t="n"/>
      <c r="R232" s="11" t="n"/>
      <c r="S232" s="11" t="n"/>
      <c r="T232" s="12">
        <f>IF(A232&lt;&gt;"SIM","NÃO MARCADA",IF(COUNTA(B232:H232,J232,M232:N232,P232:Q232)&lt;12,"PREENCHER OBRIGATÓRIOS",IF(OR(J232&lt;0,M232&lt;0),"VALOR INVÁLIDO","OK")))</f>
        <v/>
      </c>
    </row>
    <row r="233">
      <c r="A233" s="11" t="inlineStr">
        <is>
          <t>NÃO</t>
        </is>
      </c>
      <c r="B233" s="11" t="n"/>
      <c r="C233" s="11" t="n"/>
      <c r="D233" s="11" t="n"/>
      <c r="E233" s="12">
        <f>IFERROR(VLOOKUP(D233,PRODUTOS!$A:$J,2,FALSE),"")</f>
        <v/>
      </c>
      <c r="F233" s="11" t="n"/>
      <c r="G233" s="13" t="n"/>
      <c r="H233" s="11" t="inlineStr">
        <is>
          <t>DISPONÍVEL</t>
        </is>
      </c>
      <c r="I233" s="14" t="n"/>
      <c r="J233" s="15" t="n"/>
      <c r="K233" s="14">
        <f>IF(J233="","",J233-I233)</f>
        <v/>
      </c>
      <c r="L233" s="12">
        <f>IFERROR(VLOOKUP(D233,PRODUTOS!$A:$J,4,FALSE),"")</f>
        <v/>
      </c>
      <c r="M233" s="16" t="n"/>
      <c r="N233" s="11" t="n"/>
      <c r="O233" s="11" t="n"/>
      <c r="P233" s="13" t="n"/>
      <c r="Q233" s="11" t="n"/>
      <c r="R233" s="11" t="n"/>
      <c r="S233" s="11" t="n"/>
      <c r="T233" s="12">
        <f>IF(A233&lt;&gt;"SIM","NÃO MARCADA",IF(COUNTA(B233:H233,J233,M233:N233,P233:Q233)&lt;12,"PREENCHER OBRIGATÓRIOS",IF(OR(J233&lt;0,M233&lt;0),"VALOR INVÁLIDO","OK")))</f>
        <v/>
      </c>
    </row>
    <row r="234">
      <c r="A234" s="11" t="inlineStr">
        <is>
          <t>NÃO</t>
        </is>
      </c>
      <c r="B234" s="11" t="n"/>
      <c r="C234" s="11" t="n"/>
      <c r="D234" s="11" t="n"/>
      <c r="E234" s="12">
        <f>IFERROR(VLOOKUP(D234,PRODUTOS!$A:$J,2,FALSE),"")</f>
        <v/>
      </c>
      <c r="F234" s="11" t="n"/>
      <c r="G234" s="13" t="n"/>
      <c r="H234" s="11" t="inlineStr">
        <is>
          <t>DISPONÍVEL</t>
        </is>
      </c>
      <c r="I234" s="14" t="n"/>
      <c r="J234" s="15" t="n"/>
      <c r="K234" s="14">
        <f>IF(J234="","",J234-I234)</f>
        <v/>
      </c>
      <c r="L234" s="12">
        <f>IFERROR(VLOOKUP(D234,PRODUTOS!$A:$J,4,FALSE),"")</f>
        <v/>
      </c>
      <c r="M234" s="16" t="n"/>
      <c r="N234" s="11" t="n"/>
      <c r="O234" s="11" t="n"/>
      <c r="P234" s="13" t="n"/>
      <c r="Q234" s="11" t="n"/>
      <c r="R234" s="11" t="n"/>
      <c r="S234" s="11" t="n"/>
      <c r="T234" s="12">
        <f>IF(A234&lt;&gt;"SIM","NÃO MARCADA",IF(COUNTA(B234:H234,J234,M234:N234,P234:Q234)&lt;12,"PREENCHER OBRIGATÓRIOS",IF(OR(J234&lt;0,M234&lt;0),"VALOR INVÁLIDO","OK")))</f>
        <v/>
      </c>
    </row>
    <row r="235">
      <c r="A235" s="11" t="inlineStr">
        <is>
          <t>NÃO</t>
        </is>
      </c>
      <c r="B235" s="11" t="n"/>
      <c r="C235" s="11" t="n"/>
      <c r="D235" s="11" t="n"/>
      <c r="E235" s="12">
        <f>IFERROR(VLOOKUP(D235,PRODUTOS!$A:$J,2,FALSE),"")</f>
        <v/>
      </c>
      <c r="F235" s="11" t="n"/>
      <c r="G235" s="13" t="n"/>
      <c r="H235" s="11" t="inlineStr">
        <is>
          <t>DISPONÍVEL</t>
        </is>
      </c>
      <c r="I235" s="14" t="n"/>
      <c r="J235" s="15" t="n"/>
      <c r="K235" s="14">
        <f>IF(J235="","",J235-I235)</f>
        <v/>
      </c>
      <c r="L235" s="12">
        <f>IFERROR(VLOOKUP(D235,PRODUTOS!$A:$J,4,FALSE),"")</f>
        <v/>
      </c>
      <c r="M235" s="16" t="n"/>
      <c r="N235" s="11" t="n"/>
      <c r="O235" s="11" t="n"/>
      <c r="P235" s="13" t="n"/>
      <c r="Q235" s="11" t="n"/>
      <c r="R235" s="11" t="n"/>
      <c r="S235" s="11" t="n"/>
      <c r="T235" s="12">
        <f>IF(A235&lt;&gt;"SIM","NÃO MARCADA",IF(COUNTA(B235:H235,J235,M235:N235,P235:Q235)&lt;12,"PREENCHER OBRIGATÓRIOS",IF(OR(J235&lt;0,M235&lt;0),"VALOR INVÁLIDO","OK")))</f>
        <v/>
      </c>
    </row>
    <row r="236">
      <c r="A236" s="11" t="inlineStr">
        <is>
          <t>NÃO</t>
        </is>
      </c>
      <c r="B236" s="11" t="n"/>
      <c r="C236" s="11" t="n"/>
      <c r="D236" s="11" t="n"/>
      <c r="E236" s="12">
        <f>IFERROR(VLOOKUP(D236,PRODUTOS!$A:$J,2,FALSE),"")</f>
        <v/>
      </c>
      <c r="F236" s="11" t="n"/>
      <c r="G236" s="13" t="n"/>
      <c r="H236" s="11" t="inlineStr">
        <is>
          <t>DISPONÍVEL</t>
        </is>
      </c>
      <c r="I236" s="14" t="n"/>
      <c r="J236" s="15" t="n"/>
      <c r="K236" s="14">
        <f>IF(J236="","",J236-I236)</f>
        <v/>
      </c>
      <c r="L236" s="12">
        <f>IFERROR(VLOOKUP(D236,PRODUTOS!$A:$J,4,FALSE),"")</f>
        <v/>
      </c>
      <c r="M236" s="16" t="n"/>
      <c r="N236" s="11" t="n"/>
      <c r="O236" s="11" t="n"/>
      <c r="P236" s="13" t="n"/>
      <c r="Q236" s="11" t="n"/>
      <c r="R236" s="11" t="n"/>
      <c r="S236" s="11" t="n"/>
      <c r="T236" s="12">
        <f>IF(A236&lt;&gt;"SIM","NÃO MARCADA",IF(COUNTA(B236:H236,J236,M236:N236,P236:Q236)&lt;12,"PREENCHER OBRIGATÓRIOS",IF(OR(J236&lt;0,M236&lt;0),"VALOR INVÁLIDO","OK")))</f>
        <v/>
      </c>
    </row>
    <row r="237">
      <c r="A237" s="11" t="inlineStr">
        <is>
          <t>NÃO</t>
        </is>
      </c>
      <c r="B237" s="11" t="n"/>
      <c r="C237" s="11" t="n"/>
      <c r="D237" s="11" t="n"/>
      <c r="E237" s="12">
        <f>IFERROR(VLOOKUP(D237,PRODUTOS!$A:$J,2,FALSE),"")</f>
        <v/>
      </c>
      <c r="F237" s="11" t="n"/>
      <c r="G237" s="13" t="n"/>
      <c r="H237" s="11" t="inlineStr">
        <is>
          <t>DISPONÍVEL</t>
        </is>
      </c>
      <c r="I237" s="14" t="n"/>
      <c r="J237" s="15" t="n"/>
      <c r="K237" s="14">
        <f>IF(J237="","",J237-I237)</f>
        <v/>
      </c>
      <c r="L237" s="12">
        <f>IFERROR(VLOOKUP(D237,PRODUTOS!$A:$J,4,FALSE),"")</f>
        <v/>
      </c>
      <c r="M237" s="16" t="n"/>
      <c r="N237" s="11" t="n"/>
      <c r="O237" s="11" t="n"/>
      <c r="P237" s="13" t="n"/>
      <c r="Q237" s="11" t="n"/>
      <c r="R237" s="11" t="n"/>
      <c r="S237" s="11" t="n"/>
      <c r="T237" s="12">
        <f>IF(A237&lt;&gt;"SIM","NÃO MARCADA",IF(COUNTA(B237:H237,J237,M237:N237,P237:Q237)&lt;12,"PREENCHER OBRIGATÓRIOS",IF(OR(J237&lt;0,M237&lt;0),"VALOR INVÁLIDO","OK")))</f>
        <v/>
      </c>
    </row>
    <row r="238">
      <c r="A238" s="11" t="inlineStr">
        <is>
          <t>NÃO</t>
        </is>
      </c>
      <c r="B238" s="11" t="n"/>
      <c r="C238" s="11" t="n"/>
      <c r="D238" s="11" t="n"/>
      <c r="E238" s="12">
        <f>IFERROR(VLOOKUP(D238,PRODUTOS!$A:$J,2,FALSE),"")</f>
        <v/>
      </c>
      <c r="F238" s="11" t="n"/>
      <c r="G238" s="13" t="n"/>
      <c r="H238" s="11" t="inlineStr">
        <is>
          <t>DISPONÍVEL</t>
        </is>
      </c>
      <c r="I238" s="14" t="n"/>
      <c r="J238" s="15" t="n"/>
      <c r="K238" s="14">
        <f>IF(J238="","",J238-I238)</f>
        <v/>
      </c>
      <c r="L238" s="12">
        <f>IFERROR(VLOOKUP(D238,PRODUTOS!$A:$J,4,FALSE),"")</f>
        <v/>
      </c>
      <c r="M238" s="16" t="n"/>
      <c r="N238" s="11" t="n"/>
      <c r="O238" s="11" t="n"/>
      <c r="P238" s="13" t="n"/>
      <c r="Q238" s="11" t="n"/>
      <c r="R238" s="11" t="n"/>
      <c r="S238" s="11" t="n"/>
      <c r="T238" s="12">
        <f>IF(A238&lt;&gt;"SIM","NÃO MARCADA",IF(COUNTA(B238:H238,J238,M238:N238,P238:Q238)&lt;12,"PREENCHER OBRIGATÓRIOS",IF(OR(J238&lt;0,M238&lt;0),"VALOR INVÁLIDO","OK")))</f>
        <v/>
      </c>
    </row>
    <row r="239">
      <c r="A239" s="11" t="inlineStr">
        <is>
          <t>NÃO</t>
        </is>
      </c>
      <c r="B239" s="11" t="n"/>
      <c r="C239" s="11" t="n"/>
      <c r="D239" s="11" t="n"/>
      <c r="E239" s="12">
        <f>IFERROR(VLOOKUP(D239,PRODUTOS!$A:$J,2,FALSE),"")</f>
        <v/>
      </c>
      <c r="F239" s="11" t="n"/>
      <c r="G239" s="13" t="n"/>
      <c r="H239" s="11" t="inlineStr">
        <is>
          <t>DISPONÍVEL</t>
        </is>
      </c>
      <c r="I239" s="14" t="n"/>
      <c r="J239" s="15" t="n"/>
      <c r="K239" s="14">
        <f>IF(J239="","",J239-I239)</f>
        <v/>
      </c>
      <c r="L239" s="12">
        <f>IFERROR(VLOOKUP(D239,PRODUTOS!$A:$J,4,FALSE),"")</f>
        <v/>
      </c>
      <c r="M239" s="16" t="n"/>
      <c r="N239" s="11" t="n"/>
      <c r="O239" s="11" t="n"/>
      <c r="P239" s="13" t="n"/>
      <c r="Q239" s="11" t="n"/>
      <c r="R239" s="11" t="n"/>
      <c r="S239" s="11" t="n"/>
      <c r="T239" s="12">
        <f>IF(A239&lt;&gt;"SIM","NÃO MARCADA",IF(COUNTA(B239:H239,J239,M239:N239,P239:Q239)&lt;12,"PREENCHER OBRIGATÓRIOS",IF(OR(J239&lt;0,M239&lt;0),"VALOR INVÁLIDO","OK")))</f>
        <v/>
      </c>
    </row>
    <row r="240">
      <c r="A240" s="11" t="inlineStr">
        <is>
          <t>NÃO</t>
        </is>
      </c>
      <c r="B240" s="11" t="n"/>
      <c r="C240" s="11" t="n"/>
      <c r="D240" s="11" t="n"/>
      <c r="E240" s="12">
        <f>IFERROR(VLOOKUP(D240,PRODUTOS!$A:$J,2,FALSE),"")</f>
        <v/>
      </c>
      <c r="F240" s="11" t="n"/>
      <c r="G240" s="13" t="n"/>
      <c r="H240" s="11" t="inlineStr">
        <is>
          <t>DISPONÍVEL</t>
        </is>
      </c>
      <c r="I240" s="14" t="n"/>
      <c r="J240" s="15" t="n"/>
      <c r="K240" s="14">
        <f>IF(J240="","",J240-I240)</f>
        <v/>
      </c>
      <c r="L240" s="12">
        <f>IFERROR(VLOOKUP(D240,PRODUTOS!$A:$J,4,FALSE),"")</f>
        <v/>
      </c>
      <c r="M240" s="16" t="n"/>
      <c r="N240" s="11" t="n"/>
      <c r="O240" s="11" t="n"/>
      <c r="P240" s="13" t="n"/>
      <c r="Q240" s="11" t="n"/>
      <c r="R240" s="11" t="n"/>
      <c r="S240" s="11" t="n"/>
      <c r="T240" s="12">
        <f>IF(A240&lt;&gt;"SIM","NÃO MARCADA",IF(COUNTA(B240:H240,J240,M240:N240,P240:Q240)&lt;12,"PREENCHER OBRIGATÓRIOS",IF(OR(J240&lt;0,M240&lt;0),"VALOR INVÁLIDO","OK")))</f>
        <v/>
      </c>
    </row>
    <row r="241">
      <c r="A241" s="11" t="inlineStr">
        <is>
          <t>NÃO</t>
        </is>
      </c>
      <c r="B241" s="11" t="n"/>
      <c r="C241" s="11" t="n"/>
      <c r="D241" s="11" t="n"/>
      <c r="E241" s="12">
        <f>IFERROR(VLOOKUP(D241,PRODUTOS!$A:$J,2,FALSE),"")</f>
        <v/>
      </c>
      <c r="F241" s="11" t="n"/>
      <c r="G241" s="13" t="n"/>
      <c r="H241" s="11" t="inlineStr">
        <is>
          <t>DISPONÍVEL</t>
        </is>
      </c>
      <c r="I241" s="14" t="n"/>
      <c r="J241" s="15" t="n"/>
      <c r="K241" s="14">
        <f>IF(J241="","",J241-I241)</f>
        <v/>
      </c>
      <c r="L241" s="12">
        <f>IFERROR(VLOOKUP(D241,PRODUTOS!$A:$J,4,FALSE),"")</f>
        <v/>
      </c>
      <c r="M241" s="16" t="n"/>
      <c r="N241" s="11" t="n"/>
      <c r="O241" s="11" t="n"/>
      <c r="P241" s="13" t="n"/>
      <c r="Q241" s="11" t="n"/>
      <c r="R241" s="11" t="n"/>
      <c r="S241" s="11" t="n"/>
      <c r="T241" s="12">
        <f>IF(A241&lt;&gt;"SIM","NÃO MARCADA",IF(COUNTA(B241:H241,J241,M241:N241,P241:Q241)&lt;12,"PREENCHER OBRIGATÓRIOS",IF(OR(J241&lt;0,M241&lt;0),"VALOR INVÁLIDO","OK")))</f>
        <v/>
      </c>
    </row>
    <row r="242">
      <c r="A242" s="11" t="inlineStr">
        <is>
          <t>NÃO</t>
        </is>
      </c>
      <c r="B242" s="11" t="n"/>
      <c r="C242" s="11" t="n"/>
      <c r="D242" s="11" t="n"/>
      <c r="E242" s="12">
        <f>IFERROR(VLOOKUP(D242,PRODUTOS!$A:$J,2,FALSE),"")</f>
        <v/>
      </c>
      <c r="F242" s="11" t="n"/>
      <c r="G242" s="13" t="n"/>
      <c r="H242" s="11" t="inlineStr">
        <is>
          <t>DISPONÍVEL</t>
        </is>
      </c>
      <c r="I242" s="14" t="n"/>
      <c r="J242" s="15" t="n"/>
      <c r="K242" s="14">
        <f>IF(J242="","",J242-I242)</f>
        <v/>
      </c>
      <c r="L242" s="12">
        <f>IFERROR(VLOOKUP(D242,PRODUTOS!$A:$J,4,FALSE),"")</f>
        <v/>
      </c>
      <c r="M242" s="16" t="n"/>
      <c r="N242" s="11" t="n"/>
      <c r="O242" s="11" t="n"/>
      <c r="P242" s="13" t="n"/>
      <c r="Q242" s="11" t="n"/>
      <c r="R242" s="11" t="n"/>
      <c r="S242" s="11" t="n"/>
      <c r="T242" s="12">
        <f>IF(A242&lt;&gt;"SIM","NÃO MARCADA",IF(COUNTA(B242:H242,J242,M242:N242,P242:Q242)&lt;12,"PREENCHER OBRIGATÓRIOS",IF(OR(J242&lt;0,M242&lt;0),"VALOR INVÁLIDO","OK")))</f>
        <v/>
      </c>
    </row>
    <row r="243">
      <c r="A243" s="11" t="inlineStr">
        <is>
          <t>NÃO</t>
        </is>
      </c>
      <c r="B243" s="11" t="n"/>
      <c r="C243" s="11" t="n"/>
      <c r="D243" s="11" t="n"/>
      <c r="E243" s="12">
        <f>IFERROR(VLOOKUP(D243,PRODUTOS!$A:$J,2,FALSE),"")</f>
        <v/>
      </c>
      <c r="F243" s="11" t="n"/>
      <c r="G243" s="13" t="n"/>
      <c r="H243" s="11" t="inlineStr">
        <is>
          <t>DISPONÍVEL</t>
        </is>
      </c>
      <c r="I243" s="14" t="n"/>
      <c r="J243" s="15" t="n"/>
      <c r="K243" s="14">
        <f>IF(J243="","",J243-I243)</f>
        <v/>
      </c>
      <c r="L243" s="12">
        <f>IFERROR(VLOOKUP(D243,PRODUTOS!$A:$J,4,FALSE),"")</f>
        <v/>
      </c>
      <c r="M243" s="16" t="n"/>
      <c r="N243" s="11" t="n"/>
      <c r="O243" s="11" t="n"/>
      <c r="P243" s="13" t="n"/>
      <c r="Q243" s="11" t="n"/>
      <c r="R243" s="11" t="n"/>
      <c r="S243" s="11" t="n"/>
      <c r="T243" s="12">
        <f>IF(A243&lt;&gt;"SIM","NÃO MARCADA",IF(COUNTA(B243:H243,J243,M243:N243,P243:Q243)&lt;12,"PREENCHER OBRIGATÓRIOS",IF(OR(J243&lt;0,M243&lt;0),"VALOR INVÁLIDO","OK")))</f>
        <v/>
      </c>
    </row>
    <row r="244">
      <c r="A244" s="11" t="inlineStr">
        <is>
          <t>NÃO</t>
        </is>
      </c>
      <c r="B244" s="11" t="n"/>
      <c r="C244" s="11" t="n"/>
      <c r="D244" s="11" t="n"/>
      <c r="E244" s="12">
        <f>IFERROR(VLOOKUP(D244,PRODUTOS!$A:$J,2,FALSE),"")</f>
        <v/>
      </c>
      <c r="F244" s="11" t="n"/>
      <c r="G244" s="13" t="n"/>
      <c r="H244" s="11" t="inlineStr">
        <is>
          <t>DISPONÍVEL</t>
        </is>
      </c>
      <c r="I244" s="14" t="n"/>
      <c r="J244" s="15" t="n"/>
      <c r="K244" s="14">
        <f>IF(J244="","",J244-I244)</f>
        <v/>
      </c>
      <c r="L244" s="12">
        <f>IFERROR(VLOOKUP(D244,PRODUTOS!$A:$J,4,FALSE),"")</f>
        <v/>
      </c>
      <c r="M244" s="16" t="n"/>
      <c r="N244" s="11" t="n"/>
      <c r="O244" s="11" t="n"/>
      <c r="P244" s="13" t="n"/>
      <c r="Q244" s="11" t="n"/>
      <c r="R244" s="11" t="n"/>
      <c r="S244" s="11" t="n"/>
      <c r="T244" s="12">
        <f>IF(A244&lt;&gt;"SIM","NÃO MARCADA",IF(COUNTA(B244:H244,J244,M244:N244,P244:Q244)&lt;12,"PREENCHER OBRIGATÓRIOS",IF(OR(J244&lt;0,M244&lt;0),"VALOR INVÁLIDO","OK")))</f>
        <v/>
      </c>
    </row>
    <row r="245">
      <c r="A245" s="11" t="inlineStr">
        <is>
          <t>NÃO</t>
        </is>
      </c>
      <c r="B245" s="11" t="n"/>
      <c r="C245" s="11" t="n"/>
      <c r="D245" s="11" t="n"/>
      <c r="E245" s="12">
        <f>IFERROR(VLOOKUP(D245,PRODUTOS!$A:$J,2,FALSE),"")</f>
        <v/>
      </c>
      <c r="F245" s="11" t="n"/>
      <c r="G245" s="13" t="n"/>
      <c r="H245" s="11" t="inlineStr">
        <is>
          <t>DISPONÍVEL</t>
        </is>
      </c>
      <c r="I245" s="14" t="n"/>
      <c r="J245" s="15" t="n"/>
      <c r="K245" s="14">
        <f>IF(J245="","",J245-I245)</f>
        <v/>
      </c>
      <c r="L245" s="12">
        <f>IFERROR(VLOOKUP(D245,PRODUTOS!$A:$J,4,FALSE),"")</f>
        <v/>
      </c>
      <c r="M245" s="16" t="n"/>
      <c r="N245" s="11" t="n"/>
      <c r="O245" s="11" t="n"/>
      <c r="P245" s="13" t="n"/>
      <c r="Q245" s="11" t="n"/>
      <c r="R245" s="11" t="n"/>
      <c r="S245" s="11" t="n"/>
      <c r="T245" s="12">
        <f>IF(A245&lt;&gt;"SIM","NÃO MARCADA",IF(COUNTA(B245:H245,J245,M245:N245,P245:Q245)&lt;12,"PREENCHER OBRIGATÓRIOS",IF(OR(J245&lt;0,M245&lt;0),"VALOR INVÁLIDO","OK")))</f>
        <v/>
      </c>
    </row>
    <row r="246">
      <c r="A246" s="11" t="inlineStr">
        <is>
          <t>NÃO</t>
        </is>
      </c>
      <c r="B246" s="11" t="n"/>
      <c r="C246" s="11" t="n"/>
      <c r="D246" s="11" t="n"/>
      <c r="E246" s="12">
        <f>IFERROR(VLOOKUP(D246,PRODUTOS!$A:$J,2,FALSE),"")</f>
        <v/>
      </c>
      <c r="F246" s="11" t="n"/>
      <c r="G246" s="13" t="n"/>
      <c r="H246" s="11" t="inlineStr">
        <is>
          <t>DISPONÍVEL</t>
        </is>
      </c>
      <c r="I246" s="14" t="n"/>
      <c r="J246" s="15" t="n"/>
      <c r="K246" s="14">
        <f>IF(J246="","",J246-I246)</f>
        <v/>
      </c>
      <c r="L246" s="12">
        <f>IFERROR(VLOOKUP(D246,PRODUTOS!$A:$J,4,FALSE),"")</f>
        <v/>
      </c>
      <c r="M246" s="16" t="n"/>
      <c r="N246" s="11" t="n"/>
      <c r="O246" s="11" t="n"/>
      <c r="P246" s="13" t="n"/>
      <c r="Q246" s="11" t="n"/>
      <c r="R246" s="11" t="n"/>
      <c r="S246" s="11" t="n"/>
      <c r="T246" s="12">
        <f>IF(A246&lt;&gt;"SIM","NÃO MARCADA",IF(COUNTA(B246:H246,J246,M246:N246,P246:Q246)&lt;12,"PREENCHER OBRIGATÓRIOS",IF(OR(J246&lt;0,M246&lt;0),"VALOR INVÁLIDO","OK")))</f>
        <v/>
      </c>
    </row>
    <row r="247">
      <c r="A247" s="11" t="inlineStr">
        <is>
          <t>NÃO</t>
        </is>
      </c>
      <c r="B247" s="11" t="n"/>
      <c r="C247" s="11" t="n"/>
      <c r="D247" s="11" t="n"/>
      <c r="E247" s="12">
        <f>IFERROR(VLOOKUP(D247,PRODUTOS!$A:$J,2,FALSE),"")</f>
        <v/>
      </c>
      <c r="F247" s="11" t="n"/>
      <c r="G247" s="13" t="n"/>
      <c r="H247" s="11" t="inlineStr">
        <is>
          <t>DISPONÍVEL</t>
        </is>
      </c>
      <c r="I247" s="14" t="n"/>
      <c r="J247" s="15" t="n"/>
      <c r="K247" s="14">
        <f>IF(J247="","",J247-I247)</f>
        <v/>
      </c>
      <c r="L247" s="12">
        <f>IFERROR(VLOOKUP(D247,PRODUTOS!$A:$J,4,FALSE),"")</f>
        <v/>
      </c>
      <c r="M247" s="16" t="n"/>
      <c r="N247" s="11" t="n"/>
      <c r="O247" s="11" t="n"/>
      <c r="P247" s="13" t="n"/>
      <c r="Q247" s="11" t="n"/>
      <c r="R247" s="11" t="n"/>
      <c r="S247" s="11" t="n"/>
      <c r="T247" s="12">
        <f>IF(A247&lt;&gt;"SIM","NÃO MARCADA",IF(COUNTA(B247:H247,J247,M247:N247,P247:Q247)&lt;12,"PREENCHER OBRIGATÓRIOS",IF(OR(J247&lt;0,M247&lt;0),"VALOR INVÁLIDO","OK")))</f>
        <v/>
      </c>
    </row>
    <row r="248">
      <c r="A248" s="11" t="inlineStr">
        <is>
          <t>NÃO</t>
        </is>
      </c>
      <c r="B248" s="11" t="n"/>
      <c r="C248" s="11" t="n"/>
      <c r="D248" s="11" t="n"/>
      <c r="E248" s="12">
        <f>IFERROR(VLOOKUP(D248,PRODUTOS!$A:$J,2,FALSE),"")</f>
        <v/>
      </c>
      <c r="F248" s="11" t="n"/>
      <c r="G248" s="13" t="n"/>
      <c r="H248" s="11" t="inlineStr">
        <is>
          <t>DISPONÍVEL</t>
        </is>
      </c>
      <c r="I248" s="14" t="n"/>
      <c r="J248" s="15" t="n"/>
      <c r="K248" s="14">
        <f>IF(J248="","",J248-I248)</f>
        <v/>
      </c>
      <c r="L248" s="12">
        <f>IFERROR(VLOOKUP(D248,PRODUTOS!$A:$J,4,FALSE),"")</f>
        <v/>
      </c>
      <c r="M248" s="16" t="n"/>
      <c r="N248" s="11" t="n"/>
      <c r="O248" s="11" t="n"/>
      <c r="P248" s="13" t="n"/>
      <c r="Q248" s="11" t="n"/>
      <c r="R248" s="11" t="n"/>
      <c r="S248" s="11" t="n"/>
      <c r="T248" s="12">
        <f>IF(A248&lt;&gt;"SIM","NÃO MARCADA",IF(COUNTA(B248:H248,J248,M248:N248,P248:Q248)&lt;12,"PREENCHER OBRIGATÓRIOS",IF(OR(J248&lt;0,M248&lt;0),"VALOR INVÁLIDO","OK")))</f>
        <v/>
      </c>
    </row>
    <row r="249">
      <c r="A249" s="11" t="inlineStr">
        <is>
          <t>NÃO</t>
        </is>
      </c>
      <c r="B249" s="11" t="n"/>
      <c r="C249" s="11" t="n"/>
      <c r="D249" s="11" t="n"/>
      <c r="E249" s="12">
        <f>IFERROR(VLOOKUP(D249,PRODUTOS!$A:$J,2,FALSE),"")</f>
        <v/>
      </c>
      <c r="F249" s="11" t="n"/>
      <c r="G249" s="13" t="n"/>
      <c r="H249" s="11" t="inlineStr">
        <is>
          <t>DISPONÍVEL</t>
        </is>
      </c>
      <c r="I249" s="14" t="n"/>
      <c r="J249" s="15" t="n"/>
      <c r="K249" s="14">
        <f>IF(J249="","",J249-I249)</f>
        <v/>
      </c>
      <c r="L249" s="12">
        <f>IFERROR(VLOOKUP(D249,PRODUTOS!$A:$J,4,FALSE),"")</f>
        <v/>
      </c>
      <c r="M249" s="16" t="n"/>
      <c r="N249" s="11" t="n"/>
      <c r="O249" s="11" t="n"/>
      <c r="P249" s="13" t="n"/>
      <c r="Q249" s="11" t="n"/>
      <c r="R249" s="11" t="n"/>
      <c r="S249" s="11" t="n"/>
      <c r="T249" s="12">
        <f>IF(A249&lt;&gt;"SIM","NÃO MARCADA",IF(COUNTA(B249:H249,J249,M249:N249,P249:Q249)&lt;12,"PREENCHER OBRIGATÓRIOS",IF(OR(J249&lt;0,M249&lt;0),"VALOR INVÁLIDO","OK")))</f>
        <v/>
      </c>
    </row>
    <row r="250">
      <c r="A250" s="11" t="inlineStr">
        <is>
          <t>NÃO</t>
        </is>
      </c>
      <c r="B250" s="11" t="n"/>
      <c r="C250" s="11" t="n"/>
      <c r="D250" s="11" t="n"/>
      <c r="E250" s="12">
        <f>IFERROR(VLOOKUP(D250,PRODUTOS!$A:$J,2,FALSE),"")</f>
        <v/>
      </c>
      <c r="F250" s="11" t="n"/>
      <c r="G250" s="13" t="n"/>
      <c r="H250" s="11" t="inlineStr">
        <is>
          <t>DISPONÍVEL</t>
        </is>
      </c>
      <c r="I250" s="14" t="n"/>
      <c r="J250" s="15" t="n"/>
      <c r="K250" s="14">
        <f>IF(J250="","",J250-I250)</f>
        <v/>
      </c>
      <c r="L250" s="12">
        <f>IFERROR(VLOOKUP(D250,PRODUTOS!$A:$J,4,FALSE),"")</f>
        <v/>
      </c>
      <c r="M250" s="16" t="n"/>
      <c r="N250" s="11" t="n"/>
      <c r="O250" s="11" t="n"/>
      <c r="P250" s="13" t="n"/>
      <c r="Q250" s="11" t="n"/>
      <c r="R250" s="11" t="n"/>
      <c r="S250" s="11" t="n"/>
      <c r="T250" s="12">
        <f>IF(A250&lt;&gt;"SIM","NÃO MARCADA",IF(COUNTA(B250:H250,J250,M250:N250,P250:Q250)&lt;12,"PREENCHER OBRIGATÓRIOS",IF(OR(J250&lt;0,M250&lt;0),"VALOR INVÁLIDO","OK")))</f>
        <v/>
      </c>
    </row>
    <row r="251">
      <c r="A251" s="11" t="inlineStr">
        <is>
          <t>NÃO</t>
        </is>
      </c>
      <c r="B251" s="11" t="n"/>
      <c r="C251" s="11" t="n"/>
      <c r="D251" s="11" t="n"/>
      <c r="E251" s="12">
        <f>IFERROR(VLOOKUP(D251,PRODUTOS!$A:$J,2,FALSE),"")</f>
        <v/>
      </c>
      <c r="F251" s="11" t="n"/>
      <c r="G251" s="13" t="n"/>
      <c r="H251" s="11" t="inlineStr">
        <is>
          <t>DISPONÍVEL</t>
        </is>
      </c>
      <c r="I251" s="14" t="n"/>
      <c r="J251" s="15" t="n"/>
      <c r="K251" s="14">
        <f>IF(J251="","",J251-I251)</f>
        <v/>
      </c>
      <c r="L251" s="12">
        <f>IFERROR(VLOOKUP(D251,PRODUTOS!$A:$J,4,FALSE),"")</f>
        <v/>
      </c>
      <c r="M251" s="16" t="n"/>
      <c r="N251" s="11" t="n"/>
      <c r="O251" s="11" t="n"/>
      <c r="P251" s="13" t="n"/>
      <c r="Q251" s="11" t="n"/>
      <c r="R251" s="11" t="n"/>
      <c r="S251" s="11" t="n"/>
      <c r="T251" s="12">
        <f>IF(A251&lt;&gt;"SIM","NÃO MARCADA",IF(COUNTA(B251:H251,J251,M251:N251,P251:Q251)&lt;12,"PREENCHER OBRIGATÓRIOS",IF(OR(J251&lt;0,M251&lt;0),"VALOR INVÁLIDO","OK")))</f>
        <v/>
      </c>
    </row>
    <row r="252">
      <c r="A252" s="11" t="inlineStr">
        <is>
          <t>NÃO</t>
        </is>
      </c>
      <c r="B252" s="11" t="n"/>
      <c r="C252" s="11" t="n"/>
      <c r="D252" s="11" t="n"/>
      <c r="E252" s="12">
        <f>IFERROR(VLOOKUP(D252,PRODUTOS!$A:$J,2,FALSE),"")</f>
        <v/>
      </c>
      <c r="F252" s="11" t="n"/>
      <c r="G252" s="13" t="n"/>
      <c r="H252" s="11" t="inlineStr">
        <is>
          <t>DISPONÍVEL</t>
        </is>
      </c>
      <c r="I252" s="14" t="n"/>
      <c r="J252" s="15" t="n"/>
      <c r="K252" s="14">
        <f>IF(J252="","",J252-I252)</f>
        <v/>
      </c>
      <c r="L252" s="12">
        <f>IFERROR(VLOOKUP(D252,PRODUTOS!$A:$J,4,FALSE),"")</f>
        <v/>
      </c>
      <c r="M252" s="16" t="n"/>
      <c r="N252" s="11" t="n"/>
      <c r="O252" s="11" t="n"/>
      <c r="P252" s="13" t="n"/>
      <c r="Q252" s="11" t="n"/>
      <c r="R252" s="11" t="n"/>
      <c r="S252" s="11" t="n"/>
      <c r="T252" s="12">
        <f>IF(A252&lt;&gt;"SIM","NÃO MARCADA",IF(COUNTA(B252:H252,J252,M252:N252,P252:Q252)&lt;12,"PREENCHER OBRIGATÓRIOS",IF(OR(J252&lt;0,M252&lt;0),"VALOR INVÁLIDO","OK")))</f>
        <v/>
      </c>
    </row>
    <row r="253">
      <c r="A253" s="11" t="inlineStr">
        <is>
          <t>NÃO</t>
        </is>
      </c>
      <c r="B253" s="11" t="n"/>
      <c r="C253" s="11" t="n"/>
      <c r="D253" s="11" t="n"/>
      <c r="E253" s="12">
        <f>IFERROR(VLOOKUP(D253,PRODUTOS!$A:$J,2,FALSE),"")</f>
        <v/>
      </c>
      <c r="F253" s="11" t="n"/>
      <c r="G253" s="13" t="n"/>
      <c r="H253" s="11" t="inlineStr">
        <is>
          <t>DISPONÍVEL</t>
        </is>
      </c>
      <c r="I253" s="14" t="n"/>
      <c r="J253" s="15" t="n"/>
      <c r="K253" s="14">
        <f>IF(J253="","",J253-I253)</f>
        <v/>
      </c>
      <c r="L253" s="12">
        <f>IFERROR(VLOOKUP(D253,PRODUTOS!$A:$J,4,FALSE),"")</f>
        <v/>
      </c>
      <c r="M253" s="16" t="n"/>
      <c r="N253" s="11" t="n"/>
      <c r="O253" s="11" t="n"/>
      <c r="P253" s="13" t="n"/>
      <c r="Q253" s="11" t="n"/>
      <c r="R253" s="11" t="n"/>
      <c r="S253" s="11" t="n"/>
      <c r="T253" s="12">
        <f>IF(A253&lt;&gt;"SIM","NÃO MARCADA",IF(COUNTA(B253:H253,J253,M253:N253,P253:Q253)&lt;12,"PREENCHER OBRIGATÓRIOS",IF(OR(J253&lt;0,M253&lt;0),"VALOR INVÁLIDO","OK")))</f>
        <v/>
      </c>
    </row>
    <row r="254">
      <c r="A254" s="11" t="inlineStr">
        <is>
          <t>NÃO</t>
        </is>
      </c>
      <c r="B254" s="11" t="n"/>
      <c r="C254" s="11" t="n"/>
      <c r="D254" s="11" t="n"/>
      <c r="E254" s="12">
        <f>IFERROR(VLOOKUP(D254,PRODUTOS!$A:$J,2,FALSE),"")</f>
        <v/>
      </c>
      <c r="F254" s="11" t="n"/>
      <c r="G254" s="13" t="n"/>
      <c r="H254" s="11" t="inlineStr">
        <is>
          <t>DISPONÍVEL</t>
        </is>
      </c>
      <c r="I254" s="14" t="n"/>
      <c r="J254" s="15" t="n"/>
      <c r="K254" s="14">
        <f>IF(J254="","",J254-I254)</f>
        <v/>
      </c>
      <c r="L254" s="12">
        <f>IFERROR(VLOOKUP(D254,PRODUTOS!$A:$J,4,FALSE),"")</f>
        <v/>
      </c>
      <c r="M254" s="16" t="n"/>
      <c r="N254" s="11" t="n"/>
      <c r="O254" s="11" t="n"/>
      <c r="P254" s="13" t="n"/>
      <c r="Q254" s="11" t="n"/>
      <c r="R254" s="11" t="n"/>
      <c r="S254" s="11" t="n"/>
      <c r="T254" s="12">
        <f>IF(A254&lt;&gt;"SIM","NÃO MARCADA",IF(COUNTA(B254:H254,J254,M254:N254,P254:Q254)&lt;12,"PREENCHER OBRIGATÓRIOS",IF(OR(J254&lt;0,M254&lt;0),"VALOR INVÁLIDO","OK")))</f>
        <v/>
      </c>
    </row>
    <row r="255">
      <c r="A255" s="11" t="inlineStr">
        <is>
          <t>NÃO</t>
        </is>
      </c>
      <c r="B255" s="11" t="n"/>
      <c r="C255" s="11" t="n"/>
      <c r="D255" s="11" t="n"/>
      <c r="E255" s="12">
        <f>IFERROR(VLOOKUP(D255,PRODUTOS!$A:$J,2,FALSE),"")</f>
        <v/>
      </c>
      <c r="F255" s="11" t="n"/>
      <c r="G255" s="13" t="n"/>
      <c r="H255" s="11" t="inlineStr">
        <is>
          <t>DISPONÍVEL</t>
        </is>
      </c>
      <c r="I255" s="14" t="n"/>
      <c r="J255" s="15" t="n"/>
      <c r="K255" s="14">
        <f>IF(J255="","",J255-I255)</f>
        <v/>
      </c>
      <c r="L255" s="12">
        <f>IFERROR(VLOOKUP(D255,PRODUTOS!$A:$J,4,FALSE),"")</f>
        <v/>
      </c>
      <c r="M255" s="16" t="n"/>
      <c r="N255" s="11" t="n"/>
      <c r="O255" s="11" t="n"/>
      <c r="P255" s="13" t="n"/>
      <c r="Q255" s="11" t="n"/>
      <c r="R255" s="11" t="n"/>
      <c r="S255" s="11" t="n"/>
      <c r="T255" s="12">
        <f>IF(A255&lt;&gt;"SIM","NÃO MARCADA",IF(COUNTA(B255:H255,J255,M255:N255,P255:Q255)&lt;12,"PREENCHER OBRIGATÓRIOS",IF(OR(J255&lt;0,M255&lt;0),"VALOR INVÁLIDO","OK")))</f>
        <v/>
      </c>
    </row>
    <row r="256">
      <c r="A256" s="11" t="inlineStr">
        <is>
          <t>NÃO</t>
        </is>
      </c>
      <c r="B256" s="11" t="n"/>
      <c r="C256" s="11" t="n"/>
      <c r="D256" s="11" t="n"/>
      <c r="E256" s="12">
        <f>IFERROR(VLOOKUP(D256,PRODUTOS!$A:$J,2,FALSE),"")</f>
        <v/>
      </c>
      <c r="F256" s="11" t="n"/>
      <c r="G256" s="13" t="n"/>
      <c r="H256" s="11" t="inlineStr">
        <is>
          <t>DISPONÍVEL</t>
        </is>
      </c>
      <c r="I256" s="14" t="n"/>
      <c r="J256" s="15" t="n"/>
      <c r="K256" s="14">
        <f>IF(J256="","",J256-I256)</f>
        <v/>
      </c>
      <c r="L256" s="12">
        <f>IFERROR(VLOOKUP(D256,PRODUTOS!$A:$J,4,FALSE),"")</f>
        <v/>
      </c>
      <c r="M256" s="16" t="n"/>
      <c r="N256" s="11" t="n"/>
      <c r="O256" s="11" t="n"/>
      <c r="P256" s="13" t="n"/>
      <c r="Q256" s="11" t="n"/>
      <c r="R256" s="11" t="n"/>
      <c r="S256" s="11" t="n"/>
      <c r="T256" s="12">
        <f>IF(A256&lt;&gt;"SIM","NÃO MARCADA",IF(COUNTA(B256:H256,J256,M256:N256,P256:Q256)&lt;12,"PREENCHER OBRIGATÓRIOS",IF(OR(J256&lt;0,M256&lt;0),"VALOR INVÁLIDO","OK")))</f>
        <v/>
      </c>
    </row>
    <row r="257">
      <c r="A257" s="11" t="inlineStr">
        <is>
          <t>NÃO</t>
        </is>
      </c>
      <c r="B257" s="11" t="n"/>
      <c r="C257" s="11" t="n"/>
      <c r="D257" s="11" t="n"/>
      <c r="E257" s="12">
        <f>IFERROR(VLOOKUP(D257,PRODUTOS!$A:$J,2,FALSE),"")</f>
        <v/>
      </c>
      <c r="F257" s="11" t="n"/>
      <c r="G257" s="13" t="n"/>
      <c r="H257" s="11" t="inlineStr">
        <is>
          <t>DISPONÍVEL</t>
        </is>
      </c>
      <c r="I257" s="14" t="n"/>
      <c r="J257" s="15" t="n"/>
      <c r="K257" s="14">
        <f>IF(J257="","",J257-I257)</f>
        <v/>
      </c>
      <c r="L257" s="12">
        <f>IFERROR(VLOOKUP(D257,PRODUTOS!$A:$J,4,FALSE),"")</f>
        <v/>
      </c>
      <c r="M257" s="16" t="n"/>
      <c r="N257" s="11" t="n"/>
      <c r="O257" s="11" t="n"/>
      <c r="P257" s="13" t="n"/>
      <c r="Q257" s="11" t="n"/>
      <c r="R257" s="11" t="n"/>
      <c r="S257" s="11" t="n"/>
      <c r="T257" s="12">
        <f>IF(A257&lt;&gt;"SIM","NÃO MARCADA",IF(COUNTA(B257:H257,J257,M257:N257,P257:Q257)&lt;12,"PREENCHER OBRIGATÓRIOS",IF(OR(J257&lt;0,M257&lt;0),"VALOR INVÁLIDO","OK")))</f>
        <v/>
      </c>
    </row>
    <row r="258">
      <c r="A258" s="11" t="inlineStr">
        <is>
          <t>NÃO</t>
        </is>
      </c>
      <c r="B258" s="11" t="n"/>
      <c r="C258" s="11" t="n"/>
      <c r="D258" s="11" t="n"/>
      <c r="E258" s="12">
        <f>IFERROR(VLOOKUP(D258,PRODUTOS!$A:$J,2,FALSE),"")</f>
        <v/>
      </c>
      <c r="F258" s="11" t="n"/>
      <c r="G258" s="13" t="n"/>
      <c r="H258" s="11" t="inlineStr">
        <is>
          <t>DISPONÍVEL</t>
        </is>
      </c>
      <c r="I258" s="14" t="n"/>
      <c r="J258" s="15" t="n"/>
      <c r="K258" s="14">
        <f>IF(J258="","",J258-I258)</f>
        <v/>
      </c>
      <c r="L258" s="12">
        <f>IFERROR(VLOOKUP(D258,PRODUTOS!$A:$J,4,FALSE),"")</f>
        <v/>
      </c>
      <c r="M258" s="16" t="n"/>
      <c r="N258" s="11" t="n"/>
      <c r="O258" s="11" t="n"/>
      <c r="P258" s="13" t="n"/>
      <c r="Q258" s="11" t="n"/>
      <c r="R258" s="11" t="n"/>
      <c r="S258" s="11" t="n"/>
      <c r="T258" s="12">
        <f>IF(A258&lt;&gt;"SIM","NÃO MARCADA",IF(COUNTA(B258:H258,J258,M258:N258,P258:Q258)&lt;12,"PREENCHER OBRIGATÓRIOS",IF(OR(J258&lt;0,M258&lt;0),"VALOR INVÁLIDO","OK")))</f>
        <v/>
      </c>
    </row>
    <row r="259">
      <c r="A259" s="11" t="inlineStr">
        <is>
          <t>NÃO</t>
        </is>
      </c>
      <c r="B259" s="11" t="n"/>
      <c r="C259" s="11" t="n"/>
      <c r="D259" s="11" t="n"/>
      <c r="E259" s="12">
        <f>IFERROR(VLOOKUP(D259,PRODUTOS!$A:$J,2,FALSE),"")</f>
        <v/>
      </c>
      <c r="F259" s="11" t="n"/>
      <c r="G259" s="13" t="n"/>
      <c r="H259" s="11" t="inlineStr">
        <is>
          <t>DISPONÍVEL</t>
        </is>
      </c>
      <c r="I259" s="14" t="n"/>
      <c r="J259" s="15" t="n"/>
      <c r="K259" s="14">
        <f>IF(J259="","",J259-I259)</f>
        <v/>
      </c>
      <c r="L259" s="12">
        <f>IFERROR(VLOOKUP(D259,PRODUTOS!$A:$J,4,FALSE),"")</f>
        <v/>
      </c>
      <c r="M259" s="16" t="n"/>
      <c r="N259" s="11" t="n"/>
      <c r="O259" s="11" t="n"/>
      <c r="P259" s="13" t="n"/>
      <c r="Q259" s="11" t="n"/>
      <c r="R259" s="11" t="n"/>
      <c r="S259" s="11" t="n"/>
      <c r="T259" s="12">
        <f>IF(A259&lt;&gt;"SIM","NÃO MARCADA",IF(COUNTA(B259:H259,J259,M259:N259,P259:Q259)&lt;12,"PREENCHER OBRIGATÓRIOS",IF(OR(J259&lt;0,M259&lt;0),"VALOR INVÁLIDO","OK")))</f>
        <v/>
      </c>
    </row>
    <row r="260">
      <c r="A260" s="11" t="inlineStr">
        <is>
          <t>NÃO</t>
        </is>
      </c>
      <c r="B260" s="11" t="n"/>
      <c r="C260" s="11" t="n"/>
      <c r="D260" s="11" t="n"/>
      <c r="E260" s="12">
        <f>IFERROR(VLOOKUP(D260,PRODUTOS!$A:$J,2,FALSE),"")</f>
        <v/>
      </c>
      <c r="F260" s="11" t="n"/>
      <c r="G260" s="13" t="n"/>
      <c r="H260" s="11" t="inlineStr">
        <is>
          <t>DISPONÍVEL</t>
        </is>
      </c>
      <c r="I260" s="14" t="n"/>
      <c r="J260" s="15" t="n"/>
      <c r="K260" s="14">
        <f>IF(J260="","",J260-I260)</f>
        <v/>
      </c>
      <c r="L260" s="12">
        <f>IFERROR(VLOOKUP(D260,PRODUTOS!$A:$J,4,FALSE),"")</f>
        <v/>
      </c>
      <c r="M260" s="16" t="n"/>
      <c r="N260" s="11" t="n"/>
      <c r="O260" s="11" t="n"/>
      <c r="P260" s="13" t="n"/>
      <c r="Q260" s="11" t="n"/>
      <c r="R260" s="11" t="n"/>
      <c r="S260" s="11" t="n"/>
      <c r="T260" s="12">
        <f>IF(A260&lt;&gt;"SIM","NÃO MARCADA",IF(COUNTA(B260:H260,J260,M260:N260,P260:Q260)&lt;12,"PREENCHER OBRIGATÓRIOS",IF(OR(J260&lt;0,M260&lt;0),"VALOR INVÁLIDO","OK")))</f>
        <v/>
      </c>
    </row>
    <row r="261">
      <c r="A261" s="11" t="inlineStr">
        <is>
          <t>NÃO</t>
        </is>
      </c>
      <c r="B261" s="11" t="n"/>
      <c r="C261" s="11" t="n"/>
      <c r="D261" s="11" t="n"/>
      <c r="E261" s="12">
        <f>IFERROR(VLOOKUP(D261,PRODUTOS!$A:$J,2,FALSE),"")</f>
        <v/>
      </c>
      <c r="F261" s="11" t="n"/>
      <c r="G261" s="13" t="n"/>
      <c r="H261" s="11" t="inlineStr">
        <is>
          <t>DISPONÍVEL</t>
        </is>
      </c>
      <c r="I261" s="14" t="n"/>
      <c r="J261" s="15" t="n"/>
      <c r="K261" s="14">
        <f>IF(J261="","",J261-I261)</f>
        <v/>
      </c>
      <c r="L261" s="12">
        <f>IFERROR(VLOOKUP(D261,PRODUTOS!$A:$J,4,FALSE),"")</f>
        <v/>
      </c>
      <c r="M261" s="16" t="n"/>
      <c r="N261" s="11" t="n"/>
      <c r="O261" s="11" t="n"/>
      <c r="P261" s="13" t="n"/>
      <c r="Q261" s="11" t="n"/>
      <c r="R261" s="11" t="n"/>
      <c r="S261" s="11" t="n"/>
      <c r="T261" s="12">
        <f>IF(A261&lt;&gt;"SIM","NÃO MARCADA",IF(COUNTA(B261:H261,J261,M261:N261,P261:Q261)&lt;12,"PREENCHER OBRIGATÓRIOS",IF(OR(J261&lt;0,M261&lt;0),"VALOR INVÁLIDO","OK")))</f>
        <v/>
      </c>
    </row>
    <row r="262">
      <c r="A262" s="11" t="inlineStr">
        <is>
          <t>NÃO</t>
        </is>
      </c>
      <c r="B262" s="11" t="n"/>
      <c r="C262" s="11" t="n"/>
      <c r="D262" s="11" t="n"/>
      <c r="E262" s="12">
        <f>IFERROR(VLOOKUP(D262,PRODUTOS!$A:$J,2,FALSE),"")</f>
        <v/>
      </c>
      <c r="F262" s="11" t="n"/>
      <c r="G262" s="13" t="n"/>
      <c r="H262" s="11" t="inlineStr">
        <is>
          <t>DISPONÍVEL</t>
        </is>
      </c>
      <c r="I262" s="14" t="n"/>
      <c r="J262" s="15" t="n"/>
      <c r="K262" s="14">
        <f>IF(J262="","",J262-I262)</f>
        <v/>
      </c>
      <c r="L262" s="12">
        <f>IFERROR(VLOOKUP(D262,PRODUTOS!$A:$J,4,FALSE),"")</f>
        <v/>
      </c>
      <c r="M262" s="16" t="n"/>
      <c r="N262" s="11" t="n"/>
      <c r="O262" s="11" t="n"/>
      <c r="P262" s="13" t="n"/>
      <c r="Q262" s="11" t="n"/>
      <c r="R262" s="11" t="n"/>
      <c r="S262" s="11" t="n"/>
      <c r="T262" s="12">
        <f>IF(A262&lt;&gt;"SIM","NÃO MARCADA",IF(COUNTA(B262:H262,J262,M262:N262,P262:Q262)&lt;12,"PREENCHER OBRIGATÓRIOS",IF(OR(J262&lt;0,M262&lt;0),"VALOR INVÁLIDO","OK")))</f>
        <v/>
      </c>
    </row>
    <row r="263">
      <c r="A263" s="11" t="inlineStr">
        <is>
          <t>NÃO</t>
        </is>
      </c>
      <c r="B263" s="11" t="n"/>
      <c r="C263" s="11" t="n"/>
      <c r="D263" s="11" t="n"/>
      <c r="E263" s="12">
        <f>IFERROR(VLOOKUP(D263,PRODUTOS!$A:$J,2,FALSE),"")</f>
        <v/>
      </c>
      <c r="F263" s="11" t="n"/>
      <c r="G263" s="13" t="n"/>
      <c r="H263" s="11" t="inlineStr">
        <is>
          <t>DISPONÍVEL</t>
        </is>
      </c>
      <c r="I263" s="14" t="n"/>
      <c r="J263" s="15" t="n"/>
      <c r="K263" s="14">
        <f>IF(J263="","",J263-I263)</f>
        <v/>
      </c>
      <c r="L263" s="12">
        <f>IFERROR(VLOOKUP(D263,PRODUTOS!$A:$J,4,FALSE),"")</f>
        <v/>
      </c>
      <c r="M263" s="16" t="n"/>
      <c r="N263" s="11" t="n"/>
      <c r="O263" s="11" t="n"/>
      <c r="P263" s="13" t="n"/>
      <c r="Q263" s="11" t="n"/>
      <c r="R263" s="11" t="n"/>
      <c r="S263" s="11" t="n"/>
      <c r="T263" s="12">
        <f>IF(A263&lt;&gt;"SIM","NÃO MARCADA",IF(COUNTA(B263:H263,J263,M263:N263,P263:Q263)&lt;12,"PREENCHER OBRIGATÓRIOS",IF(OR(J263&lt;0,M263&lt;0),"VALOR INVÁLIDO","OK")))</f>
        <v/>
      </c>
    </row>
    <row r="264">
      <c r="A264" s="11" t="inlineStr">
        <is>
          <t>NÃO</t>
        </is>
      </c>
      <c r="B264" s="11" t="n"/>
      <c r="C264" s="11" t="n"/>
      <c r="D264" s="11" t="n"/>
      <c r="E264" s="12">
        <f>IFERROR(VLOOKUP(D264,PRODUTOS!$A:$J,2,FALSE),"")</f>
        <v/>
      </c>
      <c r="F264" s="11" t="n"/>
      <c r="G264" s="13" t="n"/>
      <c r="H264" s="11" t="inlineStr">
        <is>
          <t>DISPONÍVEL</t>
        </is>
      </c>
      <c r="I264" s="14" t="n"/>
      <c r="J264" s="15" t="n"/>
      <c r="K264" s="14">
        <f>IF(J264="","",J264-I264)</f>
        <v/>
      </c>
      <c r="L264" s="12">
        <f>IFERROR(VLOOKUP(D264,PRODUTOS!$A:$J,4,FALSE),"")</f>
        <v/>
      </c>
      <c r="M264" s="16" t="n"/>
      <c r="N264" s="11" t="n"/>
      <c r="O264" s="11" t="n"/>
      <c r="P264" s="13" t="n"/>
      <c r="Q264" s="11" t="n"/>
      <c r="R264" s="11" t="n"/>
      <c r="S264" s="11" t="n"/>
      <c r="T264" s="12">
        <f>IF(A264&lt;&gt;"SIM","NÃO MARCADA",IF(COUNTA(B264:H264,J264,M264:N264,P264:Q264)&lt;12,"PREENCHER OBRIGATÓRIOS",IF(OR(J264&lt;0,M264&lt;0),"VALOR INVÁLIDO","OK")))</f>
        <v/>
      </c>
    </row>
    <row r="265">
      <c r="A265" s="11" t="inlineStr">
        <is>
          <t>NÃO</t>
        </is>
      </c>
      <c r="B265" s="11" t="n"/>
      <c r="C265" s="11" t="n"/>
      <c r="D265" s="11" t="n"/>
      <c r="E265" s="12">
        <f>IFERROR(VLOOKUP(D265,PRODUTOS!$A:$J,2,FALSE),"")</f>
        <v/>
      </c>
      <c r="F265" s="11" t="n"/>
      <c r="G265" s="13" t="n"/>
      <c r="H265" s="11" t="inlineStr">
        <is>
          <t>DISPONÍVEL</t>
        </is>
      </c>
      <c r="I265" s="14" t="n"/>
      <c r="J265" s="15" t="n"/>
      <c r="K265" s="14">
        <f>IF(J265="","",J265-I265)</f>
        <v/>
      </c>
      <c r="L265" s="12">
        <f>IFERROR(VLOOKUP(D265,PRODUTOS!$A:$J,4,FALSE),"")</f>
        <v/>
      </c>
      <c r="M265" s="16" t="n"/>
      <c r="N265" s="11" t="n"/>
      <c r="O265" s="11" t="n"/>
      <c r="P265" s="13" t="n"/>
      <c r="Q265" s="11" t="n"/>
      <c r="R265" s="11" t="n"/>
      <c r="S265" s="11" t="n"/>
      <c r="T265" s="12">
        <f>IF(A265&lt;&gt;"SIM","NÃO MARCADA",IF(COUNTA(B265:H265,J265,M265:N265,P265:Q265)&lt;12,"PREENCHER OBRIGATÓRIOS",IF(OR(J265&lt;0,M265&lt;0),"VALOR INVÁLIDO","OK")))</f>
        <v/>
      </c>
    </row>
    <row r="266">
      <c r="A266" s="11" t="inlineStr">
        <is>
          <t>NÃO</t>
        </is>
      </c>
      <c r="B266" s="11" t="n"/>
      <c r="C266" s="11" t="n"/>
      <c r="D266" s="11" t="n"/>
      <c r="E266" s="12">
        <f>IFERROR(VLOOKUP(D266,PRODUTOS!$A:$J,2,FALSE),"")</f>
        <v/>
      </c>
      <c r="F266" s="11" t="n"/>
      <c r="G266" s="13" t="n"/>
      <c r="H266" s="11" t="inlineStr">
        <is>
          <t>DISPONÍVEL</t>
        </is>
      </c>
      <c r="I266" s="14" t="n"/>
      <c r="J266" s="15" t="n"/>
      <c r="K266" s="14">
        <f>IF(J266="","",J266-I266)</f>
        <v/>
      </c>
      <c r="L266" s="12">
        <f>IFERROR(VLOOKUP(D266,PRODUTOS!$A:$J,4,FALSE),"")</f>
        <v/>
      </c>
      <c r="M266" s="16" t="n"/>
      <c r="N266" s="11" t="n"/>
      <c r="O266" s="11" t="n"/>
      <c r="P266" s="13" t="n"/>
      <c r="Q266" s="11" t="n"/>
      <c r="R266" s="11" t="n"/>
      <c r="S266" s="11" t="n"/>
      <c r="T266" s="12">
        <f>IF(A266&lt;&gt;"SIM","NÃO MARCADA",IF(COUNTA(B266:H266,J266,M266:N266,P266:Q266)&lt;12,"PREENCHER OBRIGATÓRIOS",IF(OR(J266&lt;0,M266&lt;0),"VALOR INVÁLIDO","OK")))</f>
        <v/>
      </c>
    </row>
    <row r="267">
      <c r="A267" s="11" t="inlineStr">
        <is>
          <t>NÃO</t>
        </is>
      </c>
      <c r="B267" s="11" t="n"/>
      <c r="C267" s="11" t="n"/>
      <c r="D267" s="11" t="n"/>
      <c r="E267" s="12">
        <f>IFERROR(VLOOKUP(D267,PRODUTOS!$A:$J,2,FALSE),"")</f>
        <v/>
      </c>
      <c r="F267" s="11" t="n"/>
      <c r="G267" s="13" t="n"/>
      <c r="H267" s="11" t="inlineStr">
        <is>
          <t>DISPONÍVEL</t>
        </is>
      </c>
      <c r="I267" s="14" t="n"/>
      <c r="J267" s="15" t="n"/>
      <c r="K267" s="14">
        <f>IF(J267="","",J267-I267)</f>
        <v/>
      </c>
      <c r="L267" s="12">
        <f>IFERROR(VLOOKUP(D267,PRODUTOS!$A:$J,4,FALSE),"")</f>
        <v/>
      </c>
      <c r="M267" s="16" t="n"/>
      <c r="N267" s="11" t="n"/>
      <c r="O267" s="11" t="n"/>
      <c r="P267" s="13" t="n"/>
      <c r="Q267" s="11" t="n"/>
      <c r="R267" s="11" t="n"/>
      <c r="S267" s="11" t="n"/>
      <c r="T267" s="12">
        <f>IF(A267&lt;&gt;"SIM","NÃO MARCADA",IF(COUNTA(B267:H267,J267,M267:N267,P267:Q267)&lt;12,"PREENCHER OBRIGATÓRIOS",IF(OR(J267&lt;0,M267&lt;0),"VALOR INVÁLIDO","OK")))</f>
        <v/>
      </c>
    </row>
    <row r="268">
      <c r="A268" s="11" t="inlineStr">
        <is>
          <t>NÃO</t>
        </is>
      </c>
      <c r="B268" s="11" t="n"/>
      <c r="C268" s="11" t="n"/>
      <c r="D268" s="11" t="n"/>
      <c r="E268" s="12">
        <f>IFERROR(VLOOKUP(D268,PRODUTOS!$A:$J,2,FALSE),"")</f>
        <v/>
      </c>
      <c r="F268" s="11" t="n"/>
      <c r="G268" s="13" t="n"/>
      <c r="H268" s="11" t="inlineStr">
        <is>
          <t>DISPONÍVEL</t>
        </is>
      </c>
      <c r="I268" s="14" t="n"/>
      <c r="J268" s="15" t="n"/>
      <c r="K268" s="14">
        <f>IF(J268="","",J268-I268)</f>
        <v/>
      </c>
      <c r="L268" s="12">
        <f>IFERROR(VLOOKUP(D268,PRODUTOS!$A:$J,4,FALSE),"")</f>
        <v/>
      </c>
      <c r="M268" s="16" t="n"/>
      <c r="N268" s="11" t="n"/>
      <c r="O268" s="11" t="n"/>
      <c r="P268" s="13" t="n"/>
      <c r="Q268" s="11" t="n"/>
      <c r="R268" s="11" t="n"/>
      <c r="S268" s="11" t="n"/>
      <c r="T268" s="12">
        <f>IF(A268&lt;&gt;"SIM","NÃO MARCADA",IF(COUNTA(B268:H268,J268,M268:N268,P268:Q268)&lt;12,"PREENCHER OBRIGATÓRIOS",IF(OR(J268&lt;0,M268&lt;0),"VALOR INVÁLIDO","OK")))</f>
        <v/>
      </c>
    </row>
    <row r="269">
      <c r="A269" s="11" t="inlineStr">
        <is>
          <t>NÃO</t>
        </is>
      </c>
      <c r="B269" s="11" t="n"/>
      <c r="C269" s="11" t="n"/>
      <c r="D269" s="11" t="n"/>
      <c r="E269" s="12">
        <f>IFERROR(VLOOKUP(D269,PRODUTOS!$A:$J,2,FALSE),"")</f>
        <v/>
      </c>
      <c r="F269" s="11" t="n"/>
      <c r="G269" s="13" t="n"/>
      <c r="H269" s="11" t="inlineStr">
        <is>
          <t>DISPONÍVEL</t>
        </is>
      </c>
      <c r="I269" s="14" t="n"/>
      <c r="J269" s="15" t="n"/>
      <c r="K269" s="14">
        <f>IF(J269="","",J269-I269)</f>
        <v/>
      </c>
      <c r="L269" s="12">
        <f>IFERROR(VLOOKUP(D269,PRODUTOS!$A:$J,4,FALSE),"")</f>
        <v/>
      </c>
      <c r="M269" s="16" t="n"/>
      <c r="N269" s="11" t="n"/>
      <c r="O269" s="11" t="n"/>
      <c r="P269" s="13" t="n"/>
      <c r="Q269" s="11" t="n"/>
      <c r="R269" s="11" t="n"/>
      <c r="S269" s="11" t="n"/>
      <c r="T269" s="12">
        <f>IF(A269&lt;&gt;"SIM","NÃO MARCADA",IF(COUNTA(B269:H269,J269,M269:N269,P269:Q269)&lt;12,"PREENCHER OBRIGATÓRIOS",IF(OR(J269&lt;0,M269&lt;0),"VALOR INVÁLIDO","OK")))</f>
        <v/>
      </c>
    </row>
    <row r="270">
      <c r="A270" s="11" t="inlineStr">
        <is>
          <t>NÃO</t>
        </is>
      </c>
      <c r="B270" s="11" t="n"/>
      <c r="C270" s="11" t="n"/>
      <c r="D270" s="11" t="n"/>
      <c r="E270" s="12">
        <f>IFERROR(VLOOKUP(D270,PRODUTOS!$A:$J,2,FALSE),"")</f>
        <v/>
      </c>
      <c r="F270" s="11" t="n"/>
      <c r="G270" s="13" t="n"/>
      <c r="H270" s="11" t="inlineStr">
        <is>
          <t>DISPONÍVEL</t>
        </is>
      </c>
      <c r="I270" s="14" t="n"/>
      <c r="J270" s="15" t="n"/>
      <c r="K270" s="14">
        <f>IF(J270="","",J270-I270)</f>
        <v/>
      </c>
      <c r="L270" s="12">
        <f>IFERROR(VLOOKUP(D270,PRODUTOS!$A:$J,4,FALSE),"")</f>
        <v/>
      </c>
      <c r="M270" s="16" t="n"/>
      <c r="N270" s="11" t="n"/>
      <c r="O270" s="11" t="n"/>
      <c r="P270" s="13" t="n"/>
      <c r="Q270" s="11" t="n"/>
      <c r="R270" s="11" t="n"/>
      <c r="S270" s="11" t="n"/>
      <c r="T270" s="12">
        <f>IF(A270&lt;&gt;"SIM","NÃO MARCADA",IF(COUNTA(B270:H270,J270,M270:N270,P270:Q270)&lt;12,"PREENCHER OBRIGATÓRIOS",IF(OR(J270&lt;0,M270&lt;0),"VALOR INVÁLIDO","OK")))</f>
        <v/>
      </c>
    </row>
    <row r="271">
      <c r="A271" s="11" t="inlineStr">
        <is>
          <t>NÃO</t>
        </is>
      </c>
      <c r="B271" s="11" t="n"/>
      <c r="C271" s="11" t="n"/>
      <c r="D271" s="11" t="n"/>
      <c r="E271" s="12">
        <f>IFERROR(VLOOKUP(D271,PRODUTOS!$A:$J,2,FALSE),"")</f>
        <v/>
      </c>
      <c r="F271" s="11" t="n"/>
      <c r="G271" s="13" t="n"/>
      <c r="H271" s="11" t="inlineStr">
        <is>
          <t>DISPONÍVEL</t>
        </is>
      </c>
      <c r="I271" s="14" t="n"/>
      <c r="J271" s="15" t="n"/>
      <c r="K271" s="14">
        <f>IF(J271="","",J271-I271)</f>
        <v/>
      </c>
      <c r="L271" s="12">
        <f>IFERROR(VLOOKUP(D271,PRODUTOS!$A:$J,4,FALSE),"")</f>
        <v/>
      </c>
      <c r="M271" s="16" t="n"/>
      <c r="N271" s="11" t="n"/>
      <c r="O271" s="11" t="n"/>
      <c r="P271" s="13" t="n"/>
      <c r="Q271" s="11" t="n"/>
      <c r="R271" s="11" t="n"/>
      <c r="S271" s="11" t="n"/>
      <c r="T271" s="12">
        <f>IF(A271&lt;&gt;"SIM","NÃO MARCADA",IF(COUNTA(B271:H271,J271,M271:N271,P271:Q271)&lt;12,"PREENCHER OBRIGATÓRIOS",IF(OR(J271&lt;0,M271&lt;0),"VALOR INVÁLIDO","OK")))</f>
        <v/>
      </c>
    </row>
    <row r="272">
      <c r="A272" s="11" t="inlineStr">
        <is>
          <t>NÃO</t>
        </is>
      </c>
      <c r="B272" s="11" t="n"/>
      <c r="C272" s="11" t="n"/>
      <c r="D272" s="11" t="n"/>
      <c r="E272" s="12">
        <f>IFERROR(VLOOKUP(D272,PRODUTOS!$A:$J,2,FALSE),"")</f>
        <v/>
      </c>
      <c r="F272" s="11" t="n"/>
      <c r="G272" s="13" t="n"/>
      <c r="H272" s="11" t="inlineStr">
        <is>
          <t>DISPONÍVEL</t>
        </is>
      </c>
      <c r="I272" s="14" t="n"/>
      <c r="J272" s="15" t="n"/>
      <c r="K272" s="14">
        <f>IF(J272="","",J272-I272)</f>
        <v/>
      </c>
      <c r="L272" s="12">
        <f>IFERROR(VLOOKUP(D272,PRODUTOS!$A:$J,4,FALSE),"")</f>
        <v/>
      </c>
      <c r="M272" s="16" t="n"/>
      <c r="N272" s="11" t="n"/>
      <c r="O272" s="11" t="n"/>
      <c r="P272" s="13" t="n"/>
      <c r="Q272" s="11" t="n"/>
      <c r="R272" s="11" t="n"/>
      <c r="S272" s="11" t="n"/>
      <c r="T272" s="12">
        <f>IF(A272&lt;&gt;"SIM","NÃO MARCADA",IF(COUNTA(B272:H272,J272,M272:N272,P272:Q272)&lt;12,"PREENCHER OBRIGATÓRIOS",IF(OR(J272&lt;0,M272&lt;0),"VALOR INVÁLIDO","OK")))</f>
        <v/>
      </c>
    </row>
    <row r="273">
      <c r="A273" s="11" t="inlineStr">
        <is>
          <t>NÃO</t>
        </is>
      </c>
      <c r="B273" s="11" t="n"/>
      <c r="C273" s="11" t="n"/>
      <c r="D273" s="11" t="n"/>
      <c r="E273" s="12">
        <f>IFERROR(VLOOKUP(D273,PRODUTOS!$A:$J,2,FALSE),"")</f>
        <v/>
      </c>
      <c r="F273" s="11" t="n"/>
      <c r="G273" s="13" t="n"/>
      <c r="H273" s="11" t="inlineStr">
        <is>
          <t>DISPONÍVEL</t>
        </is>
      </c>
      <c r="I273" s="14" t="n"/>
      <c r="J273" s="15" t="n"/>
      <c r="K273" s="14">
        <f>IF(J273="","",J273-I273)</f>
        <v/>
      </c>
      <c r="L273" s="12">
        <f>IFERROR(VLOOKUP(D273,PRODUTOS!$A:$J,4,FALSE),"")</f>
        <v/>
      </c>
      <c r="M273" s="16" t="n"/>
      <c r="N273" s="11" t="n"/>
      <c r="O273" s="11" t="n"/>
      <c r="P273" s="13" t="n"/>
      <c r="Q273" s="11" t="n"/>
      <c r="R273" s="11" t="n"/>
      <c r="S273" s="11" t="n"/>
      <c r="T273" s="12">
        <f>IF(A273&lt;&gt;"SIM","NÃO MARCADA",IF(COUNTA(B273:H273,J273,M273:N273,P273:Q273)&lt;12,"PREENCHER OBRIGATÓRIOS",IF(OR(J273&lt;0,M273&lt;0),"VALOR INVÁLIDO","OK")))</f>
        <v/>
      </c>
    </row>
    <row r="274">
      <c r="A274" s="11" t="inlineStr">
        <is>
          <t>NÃO</t>
        </is>
      </c>
      <c r="B274" s="11" t="n"/>
      <c r="C274" s="11" t="n"/>
      <c r="D274" s="11" t="n"/>
      <c r="E274" s="12">
        <f>IFERROR(VLOOKUP(D274,PRODUTOS!$A:$J,2,FALSE),"")</f>
        <v/>
      </c>
      <c r="F274" s="11" t="n"/>
      <c r="G274" s="13" t="n"/>
      <c r="H274" s="11" t="inlineStr">
        <is>
          <t>DISPONÍVEL</t>
        </is>
      </c>
      <c r="I274" s="14" t="n"/>
      <c r="J274" s="15" t="n"/>
      <c r="K274" s="14">
        <f>IF(J274="","",J274-I274)</f>
        <v/>
      </c>
      <c r="L274" s="12">
        <f>IFERROR(VLOOKUP(D274,PRODUTOS!$A:$J,4,FALSE),"")</f>
        <v/>
      </c>
      <c r="M274" s="16" t="n"/>
      <c r="N274" s="11" t="n"/>
      <c r="O274" s="11" t="n"/>
      <c r="P274" s="13" t="n"/>
      <c r="Q274" s="11" t="n"/>
      <c r="R274" s="11" t="n"/>
      <c r="S274" s="11" t="n"/>
      <c r="T274" s="12">
        <f>IF(A274&lt;&gt;"SIM","NÃO MARCADA",IF(COUNTA(B274:H274,J274,M274:N274,P274:Q274)&lt;12,"PREENCHER OBRIGATÓRIOS",IF(OR(J274&lt;0,M274&lt;0),"VALOR INVÁLIDO","OK")))</f>
        <v/>
      </c>
    </row>
    <row r="275">
      <c r="A275" s="11" t="inlineStr">
        <is>
          <t>NÃO</t>
        </is>
      </c>
      <c r="B275" s="11" t="n"/>
      <c r="C275" s="11" t="n"/>
      <c r="D275" s="11" t="n"/>
      <c r="E275" s="12">
        <f>IFERROR(VLOOKUP(D275,PRODUTOS!$A:$J,2,FALSE),"")</f>
        <v/>
      </c>
      <c r="F275" s="11" t="n"/>
      <c r="G275" s="13" t="n"/>
      <c r="H275" s="11" t="inlineStr">
        <is>
          <t>DISPONÍVEL</t>
        </is>
      </c>
      <c r="I275" s="14" t="n"/>
      <c r="J275" s="15" t="n"/>
      <c r="K275" s="14">
        <f>IF(J275="","",J275-I275)</f>
        <v/>
      </c>
      <c r="L275" s="12">
        <f>IFERROR(VLOOKUP(D275,PRODUTOS!$A:$J,4,FALSE),"")</f>
        <v/>
      </c>
      <c r="M275" s="16" t="n"/>
      <c r="N275" s="11" t="n"/>
      <c r="O275" s="11" t="n"/>
      <c r="P275" s="13" t="n"/>
      <c r="Q275" s="11" t="n"/>
      <c r="R275" s="11" t="n"/>
      <c r="S275" s="11" t="n"/>
      <c r="T275" s="12">
        <f>IF(A275&lt;&gt;"SIM","NÃO MARCADA",IF(COUNTA(B275:H275,J275,M275:N275,P275:Q275)&lt;12,"PREENCHER OBRIGATÓRIOS",IF(OR(J275&lt;0,M275&lt;0),"VALOR INVÁLIDO","OK")))</f>
        <v/>
      </c>
    </row>
    <row r="276">
      <c r="A276" s="11" t="inlineStr">
        <is>
          <t>NÃO</t>
        </is>
      </c>
      <c r="B276" s="11" t="n"/>
      <c r="C276" s="11" t="n"/>
      <c r="D276" s="11" t="n"/>
      <c r="E276" s="12">
        <f>IFERROR(VLOOKUP(D276,PRODUTOS!$A:$J,2,FALSE),"")</f>
        <v/>
      </c>
      <c r="F276" s="11" t="n"/>
      <c r="G276" s="13" t="n"/>
      <c r="H276" s="11" t="inlineStr">
        <is>
          <t>DISPONÍVEL</t>
        </is>
      </c>
      <c r="I276" s="14" t="n"/>
      <c r="J276" s="15" t="n"/>
      <c r="K276" s="14">
        <f>IF(J276="","",J276-I276)</f>
        <v/>
      </c>
      <c r="L276" s="12">
        <f>IFERROR(VLOOKUP(D276,PRODUTOS!$A:$J,4,FALSE),"")</f>
        <v/>
      </c>
      <c r="M276" s="16" t="n"/>
      <c r="N276" s="11" t="n"/>
      <c r="O276" s="11" t="n"/>
      <c r="P276" s="13" t="n"/>
      <c r="Q276" s="11" t="n"/>
      <c r="R276" s="11" t="n"/>
      <c r="S276" s="11" t="n"/>
      <c r="T276" s="12">
        <f>IF(A276&lt;&gt;"SIM","NÃO MARCADA",IF(COUNTA(B276:H276,J276,M276:N276,P276:Q276)&lt;12,"PREENCHER OBRIGATÓRIOS",IF(OR(J276&lt;0,M276&lt;0),"VALOR INVÁLIDO","OK")))</f>
        <v/>
      </c>
    </row>
    <row r="277">
      <c r="A277" s="11" t="inlineStr">
        <is>
          <t>NÃO</t>
        </is>
      </c>
      <c r="B277" s="11" t="n"/>
      <c r="C277" s="11" t="n"/>
      <c r="D277" s="11" t="n"/>
      <c r="E277" s="12">
        <f>IFERROR(VLOOKUP(D277,PRODUTOS!$A:$J,2,FALSE),"")</f>
        <v/>
      </c>
      <c r="F277" s="11" t="n"/>
      <c r="G277" s="13" t="n"/>
      <c r="H277" s="11" t="inlineStr">
        <is>
          <t>DISPONÍVEL</t>
        </is>
      </c>
      <c r="I277" s="14" t="n"/>
      <c r="J277" s="15" t="n"/>
      <c r="K277" s="14">
        <f>IF(J277="","",J277-I277)</f>
        <v/>
      </c>
      <c r="L277" s="12">
        <f>IFERROR(VLOOKUP(D277,PRODUTOS!$A:$J,4,FALSE),"")</f>
        <v/>
      </c>
      <c r="M277" s="16" t="n"/>
      <c r="N277" s="11" t="n"/>
      <c r="O277" s="11" t="n"/>
      <c r="P277" s="13" t="n"/>
      <c r="Q277" s="11" t="n"/>
      <c r="R277" s="11" t="n"/>
      <c r="S277" s="11" t="n"/>
      <c r="T277" s="12">
        <f>IF(A277&lt;&gt;"SIM","NÃO MARCADA",IF(COUNTA(B277:H277,J277,M277:N277,P277:Q277)&lt;12,"PREENCHER OBRIGATÓRIOS",IF(OR(J277&lt;0,M277&lt;0),"VALOR INVÁLIDO","OK")))</f>
        <v/>
      </c>
    </row>
    <row r="278">
      <c r="A278" s="11" t="inlineStr">
        <is>
          <t>NÃO</t>
        </is>
      </c>
      <c r="B278" s="11" t="n"/>
      <c r="C278" s="11" t="n"/>
      <c r="D278" s="11" t="n"/>
      <c r="E278" s="12">
        <f>IFERROR(VLOOKUP(D278,PRODUTOS!$A:$J,2,FALSE),"")</f>
        <v/>
      </c>
      <c r="F278" s="11" t="n"/>
      <c r="G278" s="13" t="n"/>
      <c r="H278" s="11" t="inlineStr">
        <is>
          <t>DISPONÍVEL</t>
        </is>
      </c>
      <c r="I278" s="14" t="n"/>
      <c r="J278" s="15" t="n"/>
      <c r="K278" s="14">
        <f>IF(J278="","",J278-I278)</f>
        <v/>
      </c>
      <c r="L278" s="12">
        <f>IFERROR(VLOOKUP(D278,PRODUTOS!$A:$J,4,FALSE),"")</f>
        <v/>
      </c>
      <c r="M278" s="16" t="n"/>
      <c r="N278" s="11" t="n"/>
      <c r="O278" s="11" t="n"/>
      <c r="P278" s="13" t="n"/>
      <c r="Q278" s="11" t="n"/>
      <c r="R278" s="11" t="n"/>
      <c r="S278" s="11" t="n"/>
      <c r="T278" s="12">
        <f>IF(A278&lt;&gt;"SIM","NÃO MARCADA",IF(COUNTA(B278:H278,J278,M278:N278,P278:Q278)&lt;12,"PREENCHER OBRIGATÓRIOS",IF(OR(J278&lt;0,M278&lt;0),"VALOR INVÁLIDO","OK")))</f>
        <v/>
      </c>
    </row>
    <row r="279">
      <c r="A279" s="11" t="inlineStr">
        <is>
          <t>NÃO</t>
        </is>
      </c>
      <c r="B279" s="11" t="n"/>
      <c r="C279" s="11" t="n"/>
      <c r="D279" s="11" t="n"/>
      <c r="E279" s="12">
        <f>IFERROR(VLOOKUP(D279,PRODUTOS!$A:$J,2,FALSE),"")</f>
        <v/>
      </c>
      <c r="F279" s="11" t="n"/>
      <c r="G279" s="13" t="n"/>
      <c r="H279" s="11" t="inlineStr">
        <is>
          <t>DISPONÍVEL</t>
        </is>
      </c>
      <c r="I279" s="14" t="n"/>
      <c r="J279" s="15" t="n"/>
      <c r="K279" s="14">
        <f>IF(J279="","",J279-I279)</f>
        <v/>
      </c>
      <c r="L279" s="12">
        <f>IFERROR(VLOOKUP(D279,PRODUTOS!$A:$J,4,FALSE),"")</f>
        <v/>
      </c>
      <c r="M279" s="16" t="n"/>
      <c r="N279" s="11" t="n"/>
      <c r="O279" s="11" t="n"/>
      <c r="P279" s="13" t="n"/>
      <c r="Q279" s="11" t="n"/>
      <c r="R279" s="11" t="n"/>
      <c r="S279" s="11" t="n"/>
      <c r="T279" s="12">
        <f>IF(A279&lt;&gt;"SIM","NÃO MARCADA",IF(COUNTA(B279:H279,J279,M279:N279,P279:Q279)&lt;12,"PREENCHER OBRIGATÓRIOS",IF(OR(J279&lt;0,M279&lt;0),"VALOR INVÁLIDO","OK")))</f>
        <v/>
      </c>
    </row>
    <row r="280">
      <c r="A280" s="11" t="inlineStr">
        <is>
          <t>NÃO</t>
        </is>
      </c>
      <c r="B280" s="11" t="n"/>
      <c r="C280" s="11" t="n"/>
      <c r="D280" s="11" t="n"/>
      <c r="E280" s="12">
        <f>IFERROR(VLOOKUP(D280,PRODUTOS!$A:$J,2,FALSE),"")</f>
        <v/>
      </c>
      <c r="F280" s="11" t="n"/>
      <c r="G280" s="13" t="n"/>
      <c r="H280" s="11" t="inlineStr">
        <is>
          <t>DISPONÍVEL</t>
        </is>
      </c>
      <c r="I280" s="14" t="n"/>
      <c r="J280" s="15" t="n"/>
      <c r="K280" s="14">
        <f>IF(J280="","",J280-I280)</f>
        <v/>
      </c>
      <c r="L280" s="12">
        <f>IFERROR(VLOOKUP(D280,PRODUTOS!$A:$J,4,FALSE),"")</f>
        <v/>
      </c>
      <c r="M280" s="16" t="n"/>
      <c r="N280" s="11" t="n"/>
      <c r="O280" s="11" t="n"/>
      <c r="P280" s="13" t="n"/>
      <c r="Q280" s="11" t="n"/>
      <c r="R280" s="11" t="n"/>
      <c r="S280" s="11" t="n"/>
      <c r="T280" s="12">
        <f>IF(A280&lt;&gt;"SIM","NÃO MARCADA",IF(COUNTA(B280:H280,J280,M280:N280,P280:Q280)&lt;12,"PREENCHER OBRIGATÓRIOS",IF(OR(J280&lt;0,M280&lt;0),"VALOR INVÁLIDO","OK")))</f>
        <v/>
      </c>
    </row>
    <row r="281">
      <c r="A281" s="11" t="inlineStr">
        <is>
          <t>NÃO</t>
        </is>
      </c>
      <c r="B281" s="11" t="n"/>
      <c r="C281" s="11" t="n"/>
      <c r="D281" s="11" t="n"/>
      <c r="E281" s="12">
        <f>IFERROR(VLOOKUP(D281,PRODUTOS!$A:$J,2,FALSE),"")</f>
        <v/>
      </c>
      <c r="F281" s="11" t="n"/>
      <c r="G281" s="13" t="n"/>
      <c r="H281" s="11" t="inlineStr">
        <is>
          <t>DISPONÍVEL</t>
        </is>
      </c>
      <c r="I281" s="14" t="n"/>
      <c r="J281" s="15" t="n"/>
      <c r="K281" s="14">
        <f>IF(J281="","",J281-I281)</f>
        <v/>
      </c>
      <c r="L281" s="12">
        <f>IFERROR(VLOOKUP(D281,PRODUTOS!$A:$J,4,FALSE),"")</f>
        <v/>
      </c>
      <c r="M281" s="16" t="n"/>
      <c r="N281" s="11" t="n"/>
      <c r="O281" s="11" t="n"/>
      <c r="P281" s="13" t="n"/>
      <c r="Q281" s="11" t="n"/>
      <c r="R281" s="11" t="n"/>
      <c r="S281" s="11" t="n"/>
      <c r="T281" s="12">
        <f>IF(A281&lt;&gt;"SIM","NÃO MARCADA",IF(COUNTA(B281:H281,J281,M281:N281,P281:Q281)&lt;12,"PREENCHER OBRIGATÓRIOS",IF(OR(J281&lt;0,M281&lt;0),"VALOR INVÁLIDO","OK")))</f>
        <v/>
      </c>
    </row>
    <row r="282">
      <c r="A282" s="11" t="inlineStr">
        <is>
          <t>NÃO</t>
        </is>
      </c>
      <c r="B282" s="11" t="n"/>
      <c r="C282" s="11" t="n"/>
      <c r="D282" s="11" t="n"/>
      <c r="E282" s="12">
        <f>IFERROR(VLOOKUP(D282,PRODUTOS!$A:$J,2,FALSE),"")</f>
        <v/>
      </c>
      <c r="F282" s="11" t="n"/>
      <c r="G282" s="13" t="n"/>
      <c r="H282" s="11" t="inlineStr">
        <is>
          <t>DISPONÍVEL</t>
        </is>
      </c>
      <c r="I282" s="14" t="n"/>
      <c r="J282" s="15" t="n"/>
      <c r="K282" s="14">
        <f>IF(J282="","",J282-I282)</f>
        <v/>
      </c>
      <c r="L282" s="12">
        <f>IFERROR(VLOOKUP(D282,PRODUTOS!$A:$J,4,FALSE),"")</f>
        <v/>
      </c>
      <c r="M282" s="16" t="n"/>
      <c r="N282" s="11" t="n"/>
      <c r="O282" s="11" t="n"/>
      <c r="P282" s="13" t="n"/>
      <c r="Q282" s="11" t="n"/>
      <c r="R282" s="11" t="n"/>
      <c r="S282" s="11" t="n"/>
      <c r="T282" s="12">
        <f>IF(A282&lt;&gt;"SIM","NÃO MARCADA",IF(COUNTA(B282:H282,J282,M282:N282,P282:Q282)&lt;12,"PREENCHER OBRIGATÓRIOS",IF(OR(J282&lt;0,M282&lt;0),"VALOR INVÁLIDO","OK")))</f>
        <v/>
      </c>
    </row>
    <row r="283">
      <c r="A283" s="11" t="inlineStr">
        <is>
          <t>NÃO</t>
        </is>
      </c>
      <c r="B283" s="11" t="n"/>
      <c r="C283" s="11" t="n"/>
      <c r="D283" s="11" t="n"/>
      <c r="E283" s="12">
        <f>IFERROR(VLOOKUP(D283,PRODUTOS!$A:$J,2,FALSE),"")</f>
        <v/>
      </c>
      <c r="F283" s="11" t="n"/>
      <c r="G283" s="13" t="n"/>
      <c r="H283" s="11" t="inlineStr">
        <is>
          <t>DISPONÍVEL</t>
        </is>
      </c>
      <c r="I283" s="14" t="n"/>
      <c r="J283" s="15" t="n"/>
      <c r="K283" s="14">
        <f>IF(J283="","",J283-I283)</f>
        <v/>
      </c>
      <c r="L283" s="12">
        <f>IFERROR(VLOOKUP(D283,PRODUTOS!$A:$J,4,FALSE),"")</f>
        <v/>
      </c>
      <c r="M283" s="16" t="n"/>
      <c r="N283" s="11" t="n"/>
      <c r="O283" s="11" t="n"/>
      <c r="P283" s="13" t="n"/>
      <c r="Q283" s="11" t="n"/>
      <c r="R283" s="11" t="n"/>
      <c r="S283" s="11" t="n"/>
      <c r="T283" s="12">
        <f>IF(A283&lt;&gt;"SIM","NÃO MARCADA",IF(COUNTA(B283:H283,J283,M283:N283,P283:Q283)&lt;12,"PREENCHER OBRIGATÓRIOS",IF(OR(J283&lt;0,M283&lt;0),"VALOR INVÁLIDO","OK")))</f>
        <v/>
      </c>
    </row>
    <row r="284">
      <c r="A284" s="11" t="inlineStr">
        <is>
          <t>NÃO</t>
        </is>
      </c>
      <c r="B284" s="11" t="n"/>
      <c r="C284" s="11" t="n"/>
      <c r="D284" s="11" t="n"/>
      <c r="E284" s="12">
        <f>IFERROR(VLOOKUP(D284,PRODUTOS!$A:$J,2,FALSE),"")</f>
        <v/>
      </c>
      <c r="F284" s="11" t="n"/>
      <c r="G284" s="13" t="n"/>
      <c r="H284" s="11" t="inlineStr">
        <is>
          <t>DISPONÍVEL</t>
        </is>
      </c>
      <c r="I284" s="14" t="n"/>
      <c r="J284" s="15" t="n"/>
      <c r="K284" s="14">
        <f>IF(J284="","",J284-I284)</f>
        <v/>
      </c>
      <c r="L284" s="12">
        <f>IFERROR(VLOOKUP(D284,PRODUTOS!$A:$J,4,FALSE),"")</f>
        <v/>
      </c>
      <c r="M284" s="16" t="n"/>
      <c r="N284" s="11" t="n"/>
      <c r="O284" s="11" t="n"/>
      <c r="P284" s="13" t="n"/>
      <c r="Q284" s="11" t="n"/>
      <c r="R284" s="11" t="n"/>
      <c r="S284" s="11" t="n"/>
      <c r="T284" s="12">
        <f>IF(A284&lt;&gt;"SIM","NÃO MARCADA",IF(COUNTA(B284:H284,J284,M284:N284,P284:Q284)&lt;12,"PREENCHER OBRIGATÓRIOS",IF(OR(J284&lt;0,M284&lt;0),"VALOR INVÁLIDO","OK")))</f>
        <v/>
      </c>
    </row>
    <row r="285">
      <c r="A285" s="11" t="inlineStr">
        <is>
          <t>NÃO</t>
        </is>
      </c>
      <c r="B285" s="11" t="n"/>
      <c r="C285" s="11" t="n"/>
      <c r="D285" s="11" t="n"/>
      <c r="E285" s="12">
        <f>IFERROR(VLOOKUP(D285,PRODUTOS!$A:$J,2,FALSE),"")</f>
        <v/>
      </c>
      <c r="F285" s="11" t="n"/>
      <c r="G285" s="13" t="n"/>
      <c r="H285" s="11" t="inlineStr">
        <is>
          <t>DISPONÍVEL</t>
        </is>
      </c>
      <c r="I285" s="14" t="n"/>
      <c r="J285" s="15" t="n"/>
      <c r="K285" s="14">
        <f>IF(J285="","",J285-I285)</f>
        <v/>
      </c>
      <c r="L285" s="12">
        <f>IFERROR(VLOOKUP(D285,PRODUTOS!$A:$J,4,FALSE),"")</f>
        <v/>
      </c>
      <c r="M285" s="16" t="n"/>
      <c r="N285" s="11" t="n"/>
      <c r="O285" s="11" t="n"/>
      <c r="P285" s="13" t="n"/>
      <c r="Q285" s="11" t="n"/>
      <c r="R285" s="11" t="n"/>
      <c r="S285" s="11" t="n"/>
      <c r="T285" s="12">
        <f>IF(A285&lt;&gt;"SIM","NÃO MARCADA",IF(COUNTA(B285:H285,J285,M285:N285,P285:Q285)&lt;12,"PREENCHER OBRIGATÓRIOS",IF(OR(J285&lt;0,M285&lt;0),"VALOR INVÁLIDO","OK")))</f>
        <v/>
      </c>
    </row>
    <row r="286">
      <c r="A286" s="11" t="inlineStr">
        <is>
          <t>NÃO</t>
        </is>
      </c>
      <c r="B286" s="11" t="n"/>
      <c r="C286" s="11" t="n"/>
      <c r="D286" s="11" t="n"/>
      <c r="E286" s="12">
        <f>IFERROR(VLOOKUP(D286,PRODUTOS!$A:$J,2,FALSE),"")</f>
        <v/>
      </c>
      <c r="F286" s="11" t="n"/>
      <c r="G286" s="13" t="n"/>
      <c r="H286" s="11" t="inlineStr">
        <is>
          <t>DISPONÍVEL</t>
        </is>
      </c>
      <c r="I286" s="14" t="n"/>
      <c r="J286" s="15" t="n"/>
      <c r="K286" s="14">
        <f>IF(J286="","",J286-I286)</f>
        <v/>
      </c>
      <c r="L286" s="12">
        <f>IFERROR(VLOOKUP(D286,PRODUTOS!$A:$J,4,FALSE),"")</f>
        <v/>
      </c>
      <c r="M286" s="16" t="n"/>
      <c r="N286" s="11" t="n"/>
      <c r="O286" s="11" t="n"/>
      <c r="P286" s="13" t="n"/>
      <c r="Q286" s="11" t="n"/>
      <c r="R286" s="11" t="n"/>
      <c r="S286" s="11" t="n"/>
      <c r="T286" s="12">
        <f>IF(A286&lt;&gt;"SIM","NÃO MARCADA",IF(COUNTA(B286:H286,J286,M286:N286,P286:Q286)&lt;12,"PREENCHER OBRIGATÓRIOS",IF(OR(J286&lt;0,M286&lt;0),"VALOR INVÁLIDO","OK")))</f>
        <v/>
      </c>
    </row>
    <row r="287">
      <c r="A287" s="11" t="inlineStr">
        <is>
          <t>NÃO</t>
        </is>
      </c>
      <c r="B287" s="11" t="n"/>
      <c r="C287" s="11" t="n"/>
      <c r="D287" s="11" t="n"/>
      <c r="E287" s="12">
        <f>IFERROR(VLOOKUP(D287,PRODUTOS!$A:$J,2,FALSE),"")</f>
        <v/>
      </c>
      <c r="F287" s="11" t="n"/>
      <c r="G287" s="13" t="n"/>
      <c r="H287" s="11" t="inlineStr">
        <is>
          <t>DISPONÍVEL</t>
        </is>
      </c>
      <c r="I287" s="14" t="n"/>
      <c r="J287" s="15" t="n"/>
      <c r="K287" s="14">
        <f>IF(J287="","",J287-I287)</f>
        <v/>
      </c>
      <c r="L287" s="12">
        <f>IFERROR(VLOOKUP(D287,PRODUTOS!$A:$J,4,FALSE),"")</f>
        <v/>
      </c>
      <c r="M287" s="16" t="n"/>
      <c r="N287" s="11" t="n"/>
      <c r="O287" s="11" t="n"/>
      <c r="P287" s="13" t="n"/>
      <c r="Q287" s="11" t="n"/>
      <c r="R287" s="11" t="n"/>
      <c r="S287" s="11" t="n"/>
      <c r="T287" s="12">
        <f>IF(A287&lt;&gt;"SIM","NÃO MARCADA",IF(COUNTA(B287:H287,J287,M287:N287,P287:Q287)&lt;12,"PREENCHER OBRIGATÓRIOS",IF(OR(J287&lt;0,M287&lt;0),"VALOR INVÁLIDO","OK")))</f>
        <v/>
      </c>
    </row>
    <row r="288">
      <c r="A288" s="11" t="inlineStr">
        <is>
          <t>NÃO</t>
        </is>
      </c>
      <c r="B288" s="11" t="n"/>
      <c r="C288" s="11" t="n"/>
      <c r="D288" s="11" t="n"/>
      <c r="E288" s="12">
        <f>IFERROR(VLOOKUP(D288,PRODUTOS!$A:$J,2,FALSE),"")</f>
        <v/>
      </c>
      <c r="F288" s="11" t="n"/>
      <c r="G288" s="13" t="n"/>
      <c r="H288" s="11" t="inlineStr">
        <is>
          <t>DISPONÍVEL</t>
        </is>
      </c>
      <c r="I288" s="14" t="n"/>
      <c r="J288" s="15" t="n"/>
      <c r="K288" s="14">
        <f>IF(J288="","",J288-I288)</f>
        <v/>
      </c>
      <c r="L288" s="12">
        <f>IFERROR(VLOOKUP(D288,PRODUTOS!$A:$J,4,FALSE),"")</f>
        <v/>
      </c>
      <c r="M288" s="16" t="n"/>
      <c r="N288" s="11" t="n"/>
      <c r="O288" s="11" t="n"/>
      <c r="P288" s="13" t="n"/>
      <c r="Q288" s="11" t="n"/>
      <c r="R288" s="11" t="n"/>
      <c r="S288" s="11" t="n"/>
      <c r="T288" s="12">
        <f>IF(A288&lt;&gt;"SIM","NÃO MARCADA",IF(COUNTA(B288:H288,J288,M288:N288,P288:Q288)&lt;12,"PREENCHER OBRIGATÓRIOS",IF(OR(J288&lt;0,M288&lt;0),"VALOR INVÁLIDO","OK")))</f>
        <v/>
      </c>
    </row>
    <row r="289">
      <c r="A289" s="11" t="inlineStr">
        <is>
          <t>NÃO</t>
        </is>
      </c>
      <c r="B289" s="11" t="n"/>
      <c r="C289" s="11" t="n"/>
      <c r="D289" s="11" t="n"/>
      <c r="E289" s="12">
        <f>IFERROR(VLOOKUP(D289,PRODUTOS!$A:$J,2,FALSE),"")</f>
        <v/>
      </c>
      <c r="F289" s="11" t="n"/>
      <c r="G289" s="13" t="n"/>
      <c r="H289" s="11" t="inlineStr">
        <is>
          <t>DISPONÍVEL</t>
        </is>
      </c>
      <c r="I289" s="14" t="n"/>
      <c r="J289" s="15" t="n"/>
      <c r="K289" s="14">
        <f>IF(J289="","",J289-I289)</f>
        <v/>
      </c>
      <c r="L289" s="12">
        <f>IFERROR(VLOOKUP(D289,PRODUTOS!$A:$J,4,FALSE),"")</f>
        <v/>
      </c>
      <c r="M289" s="16" t="n"/>
      <c r="N289" s="11" t="n"/>
      <c r="O289" s="11" t="n"/>
      <c r="P289" s="13" t="n"/>
      <c r="Q289" s="11" t="n"/>
      <c r="R289" s="11" t="n"/>
      <c r="S289" s="11" t="n"/>
      <c r="T289" s="12">
        <f>IF(A289&lt;&gt;"SIM","NÃO MARCADA",IF(COUNTA(B289:H289,J289,M289:N289,P289:Q289)&lt;12,"PREENCHER OBRIGATÓRIOS",IF(OR(J289&lt;0,M289&lt;0),"VALOR INVÁLIDO","OK")))</f>
        <v/>
      </c>
    </row>
    <row r="290">
      <c r="A290" s="11" t="inlineStr">
        <is>
          <t>NÃO</t>
        </is>
      </c>
      <c r="B290" s="11" t="n"/>
      <c r="C290" s="11" t="n"/>
      <c r="D290" s="11" t="n"/>
      <c r="E290" s="12">
        <f>IFERROR(VLOOKUP(D290,PRODUTOS!$A:$J,2,FALSE),"")</f>
        <v/>
      </c>
      <c r="F290" s="11" t="n"/>
      <c r="G290" s="13" t="n"/>
      <c r="H290" s="11" t="inlineStr">
        <is>
          <t>DISPONÍVEL</t>
        </is>
      </c>
      <c r="I290" s="14" t="n"/>
      <c r="J290" s="15" t="n"/>
      <c r="K290" s="14">
        <f>IF(J290="","",J290-I290)</f>
        <v/>
      </c>
      <c r="L290" s="12">
        <f>IFERROR(VLOOKUP(D290,PRODUTOS!$A:$J,4,FALSE),"")</f>
        <v/>
      </c>
      <c r="M290" s="16" t="n"/>
      <c r="N290" s="11" t="n"/>
      <c r="O290" s="11" t="n"/>
      <c r="P290" s="13" t="n"/>
      <c r="Q290" s="11" t="n"/>
      <c r="R290" s="11" t="n"/>
      <c r="S290" s="11" t="n"/>
      <c r="T290" s="12">
        <f>IF(A290&lt;&gt;"SIM","NÃO MARCADA",IF(COUNTA(B290:H290,J290,M290:N290,P290:Q290)&lt;12,"PREENCHER OBRIGATÓRIOS",IF(OR(J290&lt;0,M290&lt;0),"VALOR INVÁLIDO","OK")))</f>
        <v/>
      </c>
    </row>
    <row r="291">
      <c r="A291" s="11" t="inlineStr">
        <is>
          <t>NÃO</t>
        </is>
      </c>
      <c r="B291" s="11" t="n"/>
      <c r="C291" s="11" t="n"/>
      <c r="D291" s="11" t="n"/>
      <c r="E291" s="12">
        <f>IFERROR(VLOOKUP(D291,PRODUTOS!$A:$J,2,FALSE),"")</f>
        <v/>
      </c>
      <c r="F291" s="11" t="n"/>
      <c r="G291" s="13" t="n"/>
      <c r="H291" s="11" t="inlineStr">
        <is>
          <t>DISPONÍVEL</t>
        </is>
      </c>
      <c r="I291" s="14" t="n"/>
      <c r="J291" s="15" t="n"/>
      <c r="K291" s="14">
        <f>IF(J291="","",J291-I291)</f>
        <v/>
      </c>
      <c r="L291" s="12">
        <f>IFERROR(VLOOKUP(D291,PRODUTOS!$A:$J,4,FALSE),"")</f>
        <v/>
      </c>
      <c r="M291" s="16" t="n"/>
      <c r="N291" s="11" t="n"/>
      <c r="O291" s="11" t="n"/>
      <c r="P291" s="13" t="n"/>
      <c r="Q291" s="11" t="n"/>
      <c r="R291" s="11" t="n"/>
      <c r="S291" s="11" t="n"/>
      <c r="T291" s="12">
        <f>IF(A291&lt;&gt;"SIM","NÃO MARCADA",IF(COUNTA(B291:H291,J291,M291:N291,P291:Q291)&lt;12,"PREENCHER OBRIGATÓRIOS",IF(OR(J291&lt;0,M291&lt;0),"VALOR INVÁLIDO","OK")))</f>
        <v/>
      </c>
    </row>
    <row r="292">
      <c r="A292" s="11" t="inlineStr">
        <is>
          <t>NÃO</t>
        </is>
      </c>
      <c r="B292" s="11" t="n"/>
      <c r="C292" s="11" t="n"/>
      <c r="D292" s="11" t="n"/>
      <c r="E292" s="12">
        <f>IFERROR(VLOOKUP(D292,PRODUTOS!$A:$J,2,FALSE),"")</f>
        <v/>
      </c>
      <c r="F292" s="11" t="n"/>
      <c r="G292" s="13" t="n"/>
      <c r="H292" s="11" t="inlineStr">
        <is>
          <t>DISPONÍVEL</t>
        </is>
      </c>
      <c r="I292" s="14" t="n"/>
      <c r="J292" s="15" t="n"/>
      <c r="K292" s="14">
        <f>IF(J292="","",J292-I292)</f>
        <v/>
      </c>
      <c r="L292" s="12">
        <f>IFERROR(VLOOKUP(D292,PRODUTOS!$A:$J,4,FALSE),"")</f>
        <v/>
      </c>
      <c r="M292" s="16" t="n"/>
      <c r="N292" s="11" t="n"/>
      <c r="O292" s="11" t="n"/>
      <c r="P292" s="13" t="n"/>
      <c r="Q292" s="11" t="n"/>
      <c r="R292" s="11" t="n"/>
      <c r="S292" s="11" t="n"/>
      <c r="T292" s="12">
        <f>IF(A292&lt;&gt;"SIM","NÃO MARCADA",IF(COUNTA(B292:H292,J292,M292:N292,P292:Q292)&lt;12,"PREENCHER OBRIGATÓRIOS",IF(OR(J292&lt;0,M292&lt;0),"VALOR INVÁLIDO","OK")))</f>
        <v/>
      </c>
    </row>
    <row r="293">
      <c r="A293" s="11" t="inlineStr">
        <is>
          <t>NÃO</t>
        </is>
      </c>
      <c r="B293" s="11" t="n"/>
      <c r="C293" s="11" t="n"/>
      <c r="D293" s="11" t="n"/>
      <c r="E293" s="12">
        <f>IFERROR(VLOOKUP(D293,PRODUTOS!$A:$J,2,FALSE),"")</f>
        <v/>
      </c>
      <c r="F293" s="11" t="n"/>
      <c r="G293" s="13" t="n"/>
      <c r="H293" s="11" t="inlineStr">
        <is>
          <t>DISPONÍVEL</t>
        </is>
      </c>
      <c r="I293" s="14" t="n"/>
      <c r="J293" s="15" t="n"/>
      <c r="K293" s="14">
        <f>IF(J293="","",J293-I293)</f>
        <v/>
      </c>
      <c r="L293" s="12">
        <f>IFERROR(VLOOKUP(D293,PRODUTOS!$A:$J,4,FALSE),"")</f>
        <v/>
      </c>
      <c r="M293" s="16" t="n"/>
      <c r="N293" s="11" t="n"/>
      <c r="O293" s="11" t="n"/>
      <c r="P293" s="13" t="n"/>
      <c r="Q293" s="11" t="n"/>
      <c r="R293" s="11" t="n"/>
      <c r="S293" s="11" t="n"/>
      <c r="T293" s="12">
        <f>IF(A293&lt;&gt;"SIM","NÃO MARCADA",IF(COUNTA(B293:H293,J293,M293:N293,P293:Q293)&lt;12,"PREENCHER OBRIGATÓRIOS",IF(OR(J293&lt;0,M293&lt;0),"VALOR INVÁLIDO","OK")))</f>
        <v/>
      </c>
    </row>
    <row r="294">
      <c r="A294" s="11" t="inlineStr">
        <is>
          <t>NÃO</t>
        </is>
      </c>
      <c r="B294" s="11" t="n"/>
      <c r="C294" s="11" t="n"/>
      <c r="D294" s="11" t="n"/>
      <c r="E294" s="12">
        <f>IFERROR(VLOOKUP(D294,PRODUTOS!$A:$J,2,FALSE),"")</f>
        <v/>
      </c>
      <c r="F294" s="11" t="n"/>
      <c r="G294" s="13" t="n"/>
      <c r="H294" s="11" t="inlineStr">
        <is>
          <t>DISPONÍVEL</t>
        </is>
      </c>
      <c r="I294" s="14" t="n"/>
      <c r="J294" s="15" t="n"/>
      <c r="K294" s="14">
        <f>IF(J294="","",J294-I294)</f>
        <v/>
      </c>
      <c r="L294" s="12">
        <f>IFERROR(VLOOKUP(D294,PRODUTOS!$A:$J,4,FALSE),"")</f>
        <v/>
      </c>
      <c r="M294" s="16" t="n"/>
      <c r="N294" s="11" t="n"/>
      <c r="O294" s="11" t="n"/>
      <c r="P294" s="13" t="n"/>
      <c r="Q294" s="11" t="n"/>
      <c r="R294" s="11" t="n"/>
      <c r="S294" s="11" t="n"/>
      <c r="T294" s="12">
        <f>IF(A294&lt;&gt;"SIM","NÃO MARCADA",IF(COUNTA(B294:H294,J294,M294:N294,P294:Q294)&lt;12,"PREENCHER OBRIGATÓRIOS",IF(OR(J294&lt;0,M294&lt;0),"VALOR INVÁLIDO","OK")))</f>
        <v/>
      </c>
    </row>
    <row r="295">
      <c r="A295" s="11" t="inlineStr">
        <is>
          <t>NÃO</t>
        </is>
      </c>
      <c r="B295" s="11" t="n"/>
      <c r="C295" s="11" t="n"/>
      <c r="D295" s="11" t="n"/>
      <c r="E295" s="12">
        <f>IFERROR(VLOOKUP(D295,PRODUTOS!$A:$J,2,FALSE),"")</f>
        <v/>
      </c>
      <c r="F295" s="11" t="n"/>
      <c r="G295" s="13" t="n"/>
      <c r="H295" s="11" t="inlineStr">
        <is>
          <t>DISPONÍVEL</t>
        </is>
      </c>
      <c r="I295" s="14" t="n"/>
      <c r="J295" s="15" t="n"/>
      <c r="K295" s="14">
        <f>IF(J295="","",J295-I295)</f>
        <v/>
      </c>
      <c r="L295" s="12">
        <f>IFERROR(VLOOKUP(D295,PRODUTOS!$A:$J,4,FALSE),"")</f>
        <v/>
      </c>
      <c r="M295" s="16" t="n"/>
      <c r="N295" s="11" t="n"/>
      <c r="O295" s="11" t="n"/>
      <c r="P295" s="13" t="n"/>
      <c r="Q295" s="11" t="n"/>
      <c r="R295" s="11" t="n"/>
      <c r="S295" s="11" t="n"/>
      <c r="T295" s="12">
        <f>IF(A295&lt;&gt;"SIM","NÃO MARCADA",IF(COUNTA(B295:H295,J295,M295:N295,P295:Q295)&lt;12,"PREENCHER OBRIGATÓRIOS",IF(OR(J295&lt;0,M295&lt;0),"VALOR INVÁLIDO","OK")))</f>
        <v/>
      </c>
    </row>
    <row r="296">
      <c r="A296" s="11" t="inlineStr">
        <is>
          <t>NÃO</t>
        </is>
      </c>
      <c r="B296" s="11" t="n"/>
      <c r="C296" s="11" t="n"/>
      <c r="D296" s="11" t="n"/>
      <c r="E296" s="12">
        <f>IFERROR(VLOOKUP(D296,PRODUTOS!$A:$J,2,FALSE),"")</f>
        <v/>
      </c>
      <c r="F296" s="11" t="n"/>
      <c r="G296" s="13" t="n"/>
      <c r="H296" s="11" t="inlineStr">
        <is>
          <t>DISPONÍVEL</t>
        </is>
      </c>
      <c r="I296" s="14" t="n"/>
      <c r="J296" s="15" t="n"/>
      <c r="K296" s="14">
        <f>IF(J296="","",J296-I296)</f>
        <v/>
      </c>
      <c r="L296" s="12">
        <f>IFERROR(VLOOKUP(D296,PRODUTOS!$A:$J,4,FALSE),"")</f>
        <v/>
      </c>
      <c r="M296" s="16" t="n"/>
      <c r="N296" s="11" t="n"/>
      <c r="O296" s="11" t="n"/>
      <c r="P296" s="13" t="n"/>
      <c r="Q296" s="11" t="n"/>
      <c r="R296" s="11" t="n"/>
      <c r="S296" s="11" t="n"/>
      <c r="T296" s="12">
        <f>IF(A296&lt;&gt;"SIM","NÃO MARCADA",IF(COUNTA(B296:H296,J296,M296:N296,P296:Q296)&lt;12,"PREENCHER OBRIGATÓRIOS",IF(OR(J296&lt;0,M296&lt;0),"VALOR INVÁLIDO","OK")))</f>
        <v/>
      </c>
    </row>
    <row r="297">
      <c r="A297" s="11" t="inlineStr">
        <is>
          <t>NÃO</t>
        </is>
      </c>
      <c r="B297" s="11" t="n"/>
      <c r="C297" s="11" t="n"/>
      <c r="D297" s="11" t="n"/>
      <c r="E297" s="12">
        <f>IFERROR(VLOOKUP(D297,PRODUTOS!$A:$J,2,FALSE),"")</f>
        <v/>
      </c>
      <c r="F297" s="11" t="n"/>
      <c r="G297" s="13" t="n"/>
      <c r="H297" s="11" t="inlineStr">
        <is>
          <t>DISPONÍVEL</t>
        </is>
      </c>
      <c r="I297" s="14" t="n"/>
      <c r="J297" s="15" t="n"/>
      <c r="K297" s="14">
        <f>IF(J297="","",J297-I297)</f>
        <v/>
      </c>
      <c r="L297" s="12">
        <f>IFERROR(VLOOKUP(D297,PRODUTOS!$A:$J,4,FALSE),"")</f>
        <v/>
      </c>
      <c r="M297" s="16" t="n"/>
      <c r="N297" s="11" t="n"/>
      <c r="O297" s="11" t="n"/>
      <c r="P297" s="13" t="n"/>
      <c r="Q297" s="11" t="n"/>
      <c r="R297" s="11" t="n"/>
      <c r="S297" s="11" t="n"/>
      <c r="T297" s="12">
        <f>IF(A297&lt;&gt;"SIM","NÃO MARCADA",IF(COUNTA(B297:H297,J297,M297:N297,P297:Q297)&lt;12,"PREENCHER OBRIGATÓRIOS",IF(OR(J297&lt;0,M297&lt;0),"VALOR INVÁLIDO","OK")))</f>
        <v/>
      </c>
    </row>
    <row r="298">
      <c r="A298" s="11" t="inlineStr">
        <is>
          <t>NÃO</t>
        </is>
      </c>
      <c r="B298" s="11" t="n"/>
      <c r="C298" s="11" t="n"/>
      <c r="D298" s="11" t="n"/>
      <c r="E298" s="12">
        <f>IFERROR(VLOOKUP(D298,PRODUTOS!$A:$J,2,FALSE),"")</f>
        <v/>
      </c>
      <c r="F298" s="11" t="n"/>
      <c r="G298" s="13" t="n"/>
      <c r="H298" s="11" t="inlineStr">
        <is>
          <t>DISPONÍVEL</t>
        </is>
      </c>
      <c r="I298" s="14" t="n"/>
      <c r="J298" s="15" t="n"/>
      <c r="K298" s="14">
        <f>IF(J298="","",J298-I298)</f>
        <v/>
      </c>
      <c r="L298" s="12">
        <f>IFERROR(VLOOKUP(D298,PRODUTOS!$A:$J,4,FALSE),"")</f>
        <v/>
      </c>
      <c r="M298" s="16" t="n"/>
      <c r="N298" s="11" t="n"/>
      <c r="O298" s="11" t="n"/>
      <c r="P298" s="13" t="n"/>
      <c r="Q298" s="11" t="n"/>
      <c r="R298" s="11" t="n"/>
      <c r="S298" s="11" t="n"/>
      <c r="T298" s="12">
        <f>IF(A298&lt;&gt;"SIM","NÃO MARCADA",IF(COUNTA(B298:H298,J298,M298:N298,P298:Q298)&lt;12,"PREENCHER OBRIGATÓRIOS",IF(OR(J298&lt;0,M298&lt;0),"VALOR INVÁLIDO","OK")))</f>
        <v/>
      </c>
    </row>
    <row r="299">
      <c r="A299" s="11" t="inlineStr">
        <is>
          <t>NÃO</t>
        </is>
      </c>
      <c r="B299" s="11" t="n"/>
      <c r="C299" s="11" t="n"/>
      <c r="D299" s="11" t="n"/>
      <c r="E299" s="12">
        <f>IFERROR(VLOOKUP(D299,PRODUTOS!$A:$J,2,FALSE),"")</f>
        <v/>
      </c>
      <c r="F299" s="11" t="n"/>
      <c r="G299" s="13" t="n"/>
      <c r="H299" s="11" t="inlineStr">
        <is>
          <t>DISPONÍVEL</t>
        </is>
      </c>
      <c r="I299" s="14" t="n"/>
      <c r="J299" s="15" t="n"/>
      <c r="K299" s="14">
        <f>IF(J299="","",J299-I299)</f>
        <v/>
      </c>
      <c r="L299" s="12">
        <f>IFERROR(VLOOKUP(D299,PRODUTOS!$A:$J,4,FALSE),"")</f>
        <v/>
      </c>
      <c r="M299" s="16" t="n"/>
      <c r="N299" s="11" t="n"/>
      <c r="O299" s="11" t="n"/>
      <c r="P299" s="13" t="n"/>
      <c r="Q299" s="11" t="n"/>
      <c r="R299" s="11" t="n"/>
      <c r="S299" s="11" t="n"/>
      <c r="T299" s="12">
        <f>IF(A299&lt;&gt;"SIM","NÃO MARCADA",IF(COUNTA(B299:H299,J299,M299:N299,P299:Q299)&lt;12,"PREENCHER OBRIGATÓRIOS",IF(OR(J299&lt;0,M299&lt;0),"VALOR INVÁLIDO","OK")))</f>
        <v/>
      </c>
    </row>
    <row r="300">
      <c r="A300" s="11" t="inlineStr">
        <is>
          <t>NÃO</t>
        </is>
      </c>
      <c r="B300" s="11" t="n"/>
      <c r="C300" s="11" t="n"/>
      <c r="D300" s="11" t="n"/>
      <c r="E300" s="12">
        <f>IFERROR(VLOOKUP(D300,PRODUTOS!$A:$J,2,FALSE),"")</f>
        <v/>
      </c>
      <c r="F300" s="11" t="n"/>
      <c r="G300" s="13" t="n"/>
      <c r="H300" s="11" t="inlineStr">
        <is>
          <t>DISPONÍVEL</t>
        </is>
      </c>
      <c r="I300" s="14" t="n"/>
      <c r="J300" s="15" t="n"/>
      <c r="K300" s="14">
        <f>IF(J300="","",J300-I300)</f>
        <v/>
      </c>
      <c r="L300" s="12">
        <f>IFERROR(VLOOKUP(D300,PRODUTOS!$A:$J,4,FALSE),"")</f>
        <v/>
      </c>
      <c r="M300" s="16" t="n"/>
      <c r="N300" s="11" t="n"/>
      <c r="O300" s="11" t="n"/>
      <c r="P300" s="13" t="n"/>
      <c r="Q300" s="11" t="n"/>
      <c r="R300" s="11" t="n"/>
      <c r="S300" s="11" t="n"/>
      <c r="T300" s="12">
        <f>IF(A300&lt;&gt;"SIM","NÃO MARCADA",IF(COUNTA(B300:H300,J300,M300:N300,P300:Q300)&lt;12,"PREENCHER OBRIGATÓRIOS",IF(OR(J300&lt;0,M300&lt;0),"VALOR INVÁLIDO","OK")))</f>
        <v/>
      </c>
    </row>
    <row r="301">
      <c r="A301" s="11" t="inlineStr">
        <is>
          <t>NÃO</t>
        </is>
      </c>
      <c r="B301" s="11" t="n"/>
      <c r="C301" s="11" t="n"/>
      <c r="D301" s="11" t="n"/>
      <c r="E301" s="12">
        <f>IFERROR(VLOOKUP(D301,PRODUTOS!$A:$J,2,FALSE),"")</f>
        <v/>
      </c>
      <c r="F301" s="11" t="n"/>
      <c r="G301" s="13" t="n"/>
      <c r="H301" s="11" t="inlineStr">
        <is>
          <t>DISPONÍVEL</t>
        </is>
      </c>
      <c r="I301" s="14" t="n"/>
      <c r="J301" s="15" t="n"/>
      <c r="K301" s="14">
        <f>IF(J301="","",J301-I301)</f>
        <v/>
      </c>
      <c r="L301" s="12">
        <f>IFERROR(VLOOKUP(D301,PRODUTOS!$A:$J,4,FALSE),"")</f>
        <v/>
      </c>
      <c r="M301" s="16" t="n"/>
      <c r="N301" s="11" t="n"/>
      <c r="O301" s="11" t="n"/>
      <c r="P301" s="13" t="n"/>
      <c r="Q301" s="11" t="n"/>
      <c r="R301" s="11" t="n"/>
      <c r="S301" s="11" t="n"/>
      <c r="T301" s="12">
        <f>IF(A301&lt;&gt;"SIM","NÃO MARCADA",IF(COUNTA(B301:H301,J301,M301:N301,P301:Q301)&lt;12,"PREENCHER OBRIGATÓRIOS",IF(OR(J301&lt;0,M301&lt;0),"VALOR INVÁLIDO","OK")))</f>
        <v/>
      </c>
    </row>
    <row r="302">
      <c r="A302" s="11" t="inlineStr">
        <is>
          <t>NÃO</t>
        </is>
      </c>
      <c r="B302" s="11" t="n"/>
      <c r="C302" s="11" t="n"/>
      <c r="D302" s="11" t="n"/>
      <c r="E302" s="12">
        <f>IFERROR(VLOOKUP(D302,PRODUTOS!$A:$J,2,FALSE),"")</f>
        <v/>
      </c>
      <c r="F302" s="11" t="n"/>
      <c r="G302" s="13" t="n"/>
      <c r="H302" s="11" t="inlineStr">
        <is>
          <t>DISPONÍVEL</t>
        </is>
      </c>
      <c r="I302" s="14" t="n"/>
      <c r="J302" s="15" t="n"/>
      <c r="K302" s="14">
        <f>IF(J302="","",J302-I302)</f>
        <v/>
      </c>
      <c r="L302" s="12">
        <f>IFERROR(VLOOKUP(D302,PRODUTOS!$A:$J,4,FALSE),"")</f>
        <v/>
      </c>
      <c r="M302" s="16" t="n"/>
      <c r="N302" s="11" t="n"/>
      <c r="O302" s="11" t="n"/>
      <c r="P302" s="13" t="n"/>
      <c r="Q302" s="11" t="n"/>
      <c r="R302" s="11" t="n"/>
      <c r="S302" s="11" t="n"/>
      <c r="T302" s="12">
        <f>IF(A302&lt;&gt;"SIM","NÃO MARCADA",IF(COUNTA(B302:H302,J302,M302:N302,P302:Q302)&lt;12,"PREENCHER OBRIGATÓRIOS",IF(OR(J302&lt;0,M302&lt;0),"VALOR INVÁLIDO","OK")))</f>
        <v/>
      </c>
    </row>
    <row r="303">
      <c r="A303" s="11" t="inlineStr">
        <is>
          <t>NÃO</t>
        </is>
      </c>
      <c r="B303" s="11" t="n"/>
      <c r="C303" s="11" t="n"/>
      <c r="D303" s="11" t="n"/>
      <c r="E303" s="12">
        <f>IFERROR(VLOOKUP(D303,PRODUTOS!$A:$J,2,FALSE),"")</f>
        <v/>
      </c>
      <c r="F303" s="11" t="n"/>
      <c r="G303" s="13" t="n"/>
      <c r="H303" s="11" t="inlineStr">
        <is>
          <t>DISPONÍVEL</t>
        </is>
      </c>
      <c r="I303" s="14" t="n"/>
      <c r="J303" s="15" t="n"/>
      <c r="K303" s="14">
        <f>IF(J303="","",J303-I303)</f>
        <v/>
      </c>
      <c r="L303" s="12">
        <f>IFERROR(VLOOKUP(D303,PRODUTOS!$A:$J,4,FALSE),"")</f>
        <v/>
      </c>
      <c r="M303" s="16" t="n"/>
      <c r="N303" s="11" t="n"/>
      <c r="O303" s="11" t="n"/>
      <c r="P303" s="13" t="n"/>
      <c r="Q303" s="11" t="n"/>
      <c r="R303" s="11" t="n"/>
      <c r="S303" s="11" t="n"/>
      <c r="T303" s="12">
        <f>IF(A303&lt;&gt;"SIM","NÃO MARCADA",IF(COUNTA(B303:H303,J303,M303:N303,P303:Q303)&lt;12,"PREENCHER OBRIGATÓRIOS",IF(OR(J303&lt;0,M303&lt;0),"VALOR INVÁLIDO","OK")))</f>
        <v/>
      </c>
    </row>
    <row r="304">
      <c r="A304" s="11" t="inlineStr">
        <is>
          <t>NÃO</t>
        </is>
      </c>
      <c r="B304" s="11" t="n"/>
      <c r="C304" s="11" t="n"/>
      <c r="D304" s="11" t="n"/>
      <c r="E304" s="12">
        <f>IFERROR(VLOOKUP(D304,PRODUTOS!$A:$J,2,FALSE),"")</f>
        <v/>
      </c>
      <c r="F304" s="11" t="n"/>
      <c r="G304" s="13" t="n"/>
      <c r="H304" s="11" t="inlineStr">
        <is>
          <t>DISPONÍVEL</t>
        </is>
      </c>
      <c r="I304" s="14" t="n"/>
      <c r="J304" s="15" t="n"/>
      <c r="K304" s="14">
        <f>IF(J304="","",J304-I304)</f>
        <v/>
      </c>
      <c r="L304" s="12">
        <f>IFERROR(VLOOKUP(D304,PRODUTOS!$A:$J,4,FALSE),"")</f>
        <v/>
      </c>
      <c r="M304" s="16" t="n"/>
      <c r="N304" s="11" t="n"/>
      <c r="O304" s="11" t="n"/>
      <c r="P304" s="13" t="n"/>
      <c r="Q304" s="11" t="n"/>
      <c r="R304" s="11" t="n"/>
      <c r="S304" s="11" t="n"/>
      <c r="T304" s="12">
        <f>IF(A304&lt;&gt;"SIM","NÃO MARCADA",IF(COUNTA(B304:H304,J304,M304:N304,P304:Q304)&lt;12,"PREENCHER OBRIGATÓRIOS",IF(OR(J304&lt;0,M304&lt;0),"VALOR INVÁLIDO","OK")))</f>
        <v/>
      </c>
    </row>
    <row r="305">
      <c r="A305" s="11" t="inlineStr">
        <is>
          <t>NÃO</t>
        </is>
      </c>
      <c r="B305" s="11" t="n"/>
      <c r="C305" s="11" t="n"/>
      <c r="D305" s="11" t="n"/>
      <c r="E305" s="12">
        <f>IFERROR(VLOOKUP(D305,PRODUTOS!$A:$J,2,FALSE),"")</f>
        <v/>
      </c>
      <c r="F305" s="11" t="n"/>
      <c r="G305" s="13" t="n"/>
      <c r="H305" s="11" t="inlineStr">
        <is>
          <t>DISPONÍVEL</t>
        </is>
      </c>
      <c r="I305" s="14" t="n"/>
      <c r="J305" s="15" t="n"/>
      <c r="K305" s="14">
        <f>IF(J305="","",J305-I305)</f>
        <v/>
      </c>
      <c r="L305" s="12">
        <f>IFERROR(VLOOKUP(D305,PRODUTOS!$A:$J,4,FALSE),"")</f>
        <v/>
      </c>
      <c r="M305" s="16" t="n"/>
      <c r="N305" s="11" t="n"/>
      <c r="O305" s="11" t="n"/>
      <c r="P305" s="13" t="n"/>
      <c r="Q305" s="11" t="n"/>
      <c r="R305" s="11" t="n"/>
      <c r="S305" s="11" t="n"/>
      <c r="T305" s="12">
        <f>IF(A305&lt;&gt;"SIM","NÃO MARCADA",IF(COUNTA(B305:H305,J305,M305:N305,P305:Q305)&lt;12,"PREENCHER OBRIGATÓRIOS",IF(OR(J305&lt;0,M305&lt;0),"VALOR INVÁLIDO","OK")))</f>
        <v/>
      </c>
    </row>
    <row r="306">
      <c r="A306" s="11" t="inlineStr">
        <is>
          <t>NÃO</t>
        </is>
      </c>
      <c r="B306" s="11" t="n"/>
      <c r="C306" s="11" t="n"/>
      <c r="D306" s="11" t="n"/>
      <c r="E306" s="12">
        <f>IFERROR(VLOOKUP(D306,PRODUTOS!$A:$J,2,FALSE),"")</f>
        <v/>
      </c>
      <c r="F306" s="11" t="n"/>
      <c r="G306" s="13" t="n"/>
      <c r="H306" s="11" t="inlineStr">
        <is>
          <t>DISPONÍVEL</t>
        </is>
      </c>
      <c r="I306" s="14" t="n"/>
      <c r="J306" s="15" t="n"/>
      <c r="K306" s="14">
        <f>IF(J306="","",J306-I306)</f>
        <v/>
      </c>
      <c r="L306" s="12">
        <f>IFERROR(VLOOKUP(D306,PRODUTOS!$A:$J,4,FALSE),"")</f>
        <v/>
      </c>
      <c r="M306" s="16" t="n"/>
      <c r="N306" s="11" t="n"/>
      <c r="O306" s="11" t="n"/>
      <c r="P306" s="13" t="n"/>
      <c r="Q306" s="11" t="n"/>
      <c r="R306" s="11" t="n"/>
      <c r="S306" s="11" t="n"/>
      <c r="T306" s="12">
        <f>IF(A306&lt;&gt;"SIM","NÃO MARCADA",IF(COUNTA(B306:H306,J306,M306:N306,P306:Q306)&lt;12,"PREENCHER OBRIGATÓRIOS",IF(OR(J306&lt;0,M306&lt;0),"VALOR INVÁLIDO","OK")))</f>
        <v/>
      </c>
    </row>
    <row r="307">
      <c r="A307" s="11" t="inlineStr">
        <is>
          <t>NÃO</t>
        </is>
      </c>
      <c r="B307" s="11" t="n"/>
      <c r="C307" s="11" t="n"/>
      <c r="D307" s="11" t="n"/>
      <c r="E307" s="12">
        <f>IFERROR(VLOOKUP(D307,PRODUTOS!$A:$J,2,FALSE),"")</f>
        <v/>
      </c>
      <c r="F307" s="11" t="n"/>
      <c r="G307" s="13" t="n"/>
      <c r="H307" s="11" t="inlineStr">
        <is>
          <t>DISPONÍVEL</t>
        </is>
      </c>
      <c r="I307" s="14" t="n"/>
      <c r="J307" s="15" t="n"/>
      <c r="K307" s="14">
        <f>IF(J307="","",J307-I307)</f>
        <v/>
      </c>
      <c r="L307" s="12">
        <f>IFERROR(VLOOKUP(D307,PRODUTOS!$A:$J,4,FALSE),"")</f>
        <v/>
      </c>
      <c r="M307" s="16" t="n"/>
      <c r="N307" s="11" t="n"/>
      <c r="O307" s="11" t="n"/>
      <c r="P307" s="13" t="n"/>
      <c r="Q307" s="11" t="n"/>
      <c r="R307" s="11" t="n"/>
      <c r="S307" s="11" t="n"/>
      <c r="T307" s="12">
        <f>IF(A307&lt;&gt;"SIM","NÃO MARCADA",IF(COUNTA(B307:H307,J307,M307:N307,P307:Q307)&lt;12,"PREENCHER OBRIGATÓRIOS",IF(OR(J307&lt;0,M307&lt;0),"VALOR INVÁLIDO","OK")))</f>
        <v/>
      </c>
    </row>
    <row r="308">
      <c r="A308" s="11" t="inlineStr">
        <is>
          <t>NÃO</t>
        </is>
      </c>
      <c r="B308" s="11" t="n"/>
      <c r="C308" s="11" t="n"/>
      <c r="D308" s="11" t="n"/>
      <c r="E308" s="12">
        <f>IFERROR(VLOOKUP(D308,PRODUTOS!$A:$J,2,FALSE),"")</f>
        <v/>
      </c>
      <c r="F308" s="11" t="n"/>
      <c r="G308" s="13" t="n"/>
      <c r="H308" s="11" t="inlineStr">
        <is>
          <t>DISPONÍVEL</t>
        </is>
      </c>
      <c r="I308" s="14" t="n"/>
      <c r="J308" s="15" t="n"/>
      <c r="K308" s="14">
        <f>IF(J308="","",J308-I308)</f>
        <v/>
      </c>
      <c r="L308" s="12">
        <f>IFERROR(VLOOKUP(D308,PRODUTOS!$A:$J,4,FALSE),"")</f>
        <v/>
      </c>
      <c r="M308" s="16" t="n"/>
      <c r="N308" s="11" t="n"/>
      <c r="O308" s="11" t="n"/>
      <c r="P308" s="13" t="n"/>
      <c r="Q308" s="11" t="n"/>
      <c r="R308" s="11" t="n"/>
      <c r="S308" s="11" t="n"/>
      <c r="T308" s="12">
        <f>IF(A308&lt;&gt;"SIM","NÃO MARCADA",IF(COUNTA(B308:H308,J308,M308:N308,P308:Q308)&lt;12,"PREENCHER OBRIGATÓRIOS",IF(OR(J308&lt;0,M308&lt;0),"VALOR INVÁLIDO","OK")))</f>
        <v/>
      </c>
    </row>
    <row r="309">
      <c r="A309" s="11" t="inlineStr">
        <is>
          <t>NÃO</t>
        </is>
      </c>
      <c r="B309" s="11" t="n"/>
      <c r="C309" s="11" t="n"/>
      <c r="D309" s="11" t="n"/>
      <c r="E309" s="12">
        <f>IFERROR(VLOOKUP(D309,PRODUTOS!$A:$J,2,FALSE),"")</f>
        <v/>
      </c>
      <c r="F309" s="11" t="n"/>
      <c r="G309" s="13" t="n"/>
      <c r="H309" s="11" t="inlineStr">
        <is>
          <t>DISPONÍVEL</t>
        </is>
      </c>
      <c r="I309" s="14" t="n"/>
      <c r="J309" s="15" t="n"/>
      <c r="K309" s="14">
        <f>IF(J309="","",J309-I309)</f>
        <v/>
      </c>
      <c r="L309" s="12">
        <f>IFERROR(VLOOKUP(D309,PRODUTOS!$A:$J,4,FALSE),"")</f>
        <v/>
      </c>
      <c r="M309" s="16" t="n"/>
      <c r="N309" s="11" t="n"/>
      <c r="O309" s="11" t="n"/>
      <c r="P309" s="13" t="n"/>
      <c r="Q309" s="11" t="n"/>
      <c r="R309" s="11" t="n"/>
      <c r="S309" s="11" t="n"/>
      <c r="T309" s="12">
        <f>IF(A309&lt;&gt;"SIM","NÃO MARCADA",IF(COUNTA(B309:H309,J309,M309:N309,P309:Q309)&lt;12,"PREENCHER OBRIGATÓRIOS",IF(OR(J309&lt;0,M309&lt;0),"VALOR INVÁLIDO","OK")))</f>
        <v/>
      </c>
    </row>
    <row r="310">
      <c r="A310" s="11" t="inlineStr">
        <is>
          <t>NÃO</t>
        </is>
      </c>
      <c r="B310" s="11" t="n"/>
      <c r="C310" s="11" t="n"/>
      <c r="D310" s="11" t="n"/>
      <c r="E310" s="12">
        <f>IFERROR(VLOOKUP(D310,PRODUTOS!$A:$J,2,FALSE),"")</f>
        <v/>
      </c>
      <c r="F310" s="11" t="n"/>
      <c r="G310" s="13" t="n"/>
      <c r="H310" s="11" t="inlineStr">
        <is>
          <t>DISPONÍVEL</t>
        </is>
      </c>
      <c r="I310" s="14" t="n"/>
      <c r="J310" s="15" t="n"/>
      <c r="K310" s="14">
        <f>IF(J310="","",J310-I310)</f>
        <v/>
      </c>
      <c r="L310" s="12">
        <f>IFERROR(VLOOKUP(D310,PRODUTOS!$A:$J,4,FALSE),"")</f>
        <v/>
      </c>
      <c r="M310" s="16" t="n"/>
      <c r="N310" s="11" t="n"/>
      <c r="O310" s="11" t="n"/>
      <c r="P310" s="13" t="n"/>
      <c r="Q310" s="11" t="n"/>
      <c r="R310" s="11" t="n"/>
      <c r="S310" s="11" t="n"/>
      <c r="T310" s="12">
        <f>IF(A310&lt;&gt;"SIM","NÃO MARCADA",IF(COUNTA(B310:H310,J310,M310:N310,P310:Q310)&lt;12,"PREENCHER OBRIGATÓRIOS",IF(OR(J310&lt;0,M310&lt;0),"VALOR INVÁLIDO","OK")))</f>
        <v/>
      </c>
    </row>
    <row r="311">
      <c r="A311" s="11" t="inlineStr">
        <is>
          <t>NÃO</t>
        </is>
      </c>
      <c r="B311" s="11" t="n"/>
      <c r="C311" s="11" t="n"/>
      <c r="D311" s="11" t="n"/>
      <c r="E311" s="12">
        <f>IFERROR(VLOOKUP(D311,PRODUTOS!$A:$J,2,FALSE),"")</f>
        <v/>
      </c>
      <c r="F311" s="11" t="n"/>
      <c r="G311" s="13" t="n"/>
      <c r="H311" s="11" t="inlineStr">
        <is>
          <t>DISPONÍVEL</t>
        </is>
      </c>
      <c r="I311" s="14" t="n"/>
      <c r="J311" s="15" t="n"/>
      <c r="K311" s="14">
        <f>IF(J311="","",J311-I311)</f>
        <v/>
      </c>
      <c r="L311" s="12">
        <f>IFERROR(VLOOKUP(D311,PRODUTOS!$A:$J,4,FALSE),"")</f>
        <v/>
      </c>
      <c r="M311" s="16" t="n"/>
      <c r="N311" s="11" t="n"/>
      <c r="O311" s="11" t="n"/>
      <c r="P311" s="13" t="n"/>
      <c r="Q311" s="11" t="n"/>
      <c r="R311" s="11" t="n"/>
      <c r="S311" s="11" t="n"/>
      <c r="T311" s="12">
        <f>IF(A311&lt;&gt;"SIM","NÃO MARCADA",IF(COUNTA(B311:H311,J311,M311:N311,P311:Q311)&lt;12,"PREENCHER OBRIGATÓRIOS",IF(OR(J311&lt;0,M311&lt;0),"VALOR INVÁLIDO","OK")))</f>
        <v/>
      </c>
    </row>
    <row r="312">
      <c r="A312" s="11" t="inlineStr">
        <is>
          <t>NÃO</t>
        </is>
      </c>
      <c r="B312" s="11" t="n"/>
      <c r="C312" s="11" t="n"/>
      <c r="D312" s="11" t="n"/>
      <c r="E312" s="12">
        <f>IFERROR(VLOOKUP(D312,PRODUTOS!$A:$J,2,FALSE),"")</f>
        <v/>
      </c>
      <c r="F312" s="11" t="n"/>
      <c r="G312" s="13" t="n"/>
      <c r="H312" s="11" t="inlineStr">
        <is>
          <t>DISPONÍVEL</t>
        </is>
      </c>
      <c r="I312" s="14" t="n"/>
      <c r="J312" s="15" t="n"/>
      <c r="K312" s="14">
        <f>IF(J312="","",J312-I312)</f>
        <v/>
      </c>
      <c r="L312" s="12">
        <f>IFERROR(VLOOKUP(D312,PRODUTOS!$A:$J,4,FALSE),"")</f>
        <v/>
      </c>
      <c r="M312" s="16" t="n"/>
      <c r="N312" s="11" t="n"/>
      <c r="O312" s="11" t="n"/>
      <c r="P312" s="13" t="n"/>
      <c r="Q312" s="11" t="n"/>
      <c r="R312" s="11" t="n"/>
      <c r="S312" s="11" t="n"/>
      <c r="T312" s="12">
        <f>IF(A312&lt;&gt;"SIM","NÃO MARCADA",IF(COUNTA(B312:H312,J312,M312:N312,P312:Q312)&lt;12,"PREENCHER OBRIGATÓRIOS",IF(OR(J312&lt;0,M312&lt;0),"VALOR INVÁLIDO","OK")))</f>
        <v/>
      </c>
    </row>
    <row r="313">
      <c r="A313" s="11" t="inlineStr">
        <is>
          <t>NÃO</t>
        </is>
      </c>
      <c r="B313" s="11" t="n"/>
      <c r="C313" s="11" t="n"/>
      <c r="D313" s="11" t="n"/>
      <c r="E313" s="12">
        <f>IFERROR(VLOOKUP(D313,PRODUTOS!$A:$J,2,FALSE),"")</f>
        <v/>
      </c>
      <c r="F313" s="11" t="n"/>
      <c r="G313" s="13" t="n"/>
      <c r="H313" s="11" t="inlineStr">
        <is>
          <t>DISPONÍVEL</t>
        </is>
      </c>
      <c r="I313" s="14" t="n"/>
      <c r="J313" s="15" t="n"/>
      <c r="K313" s="14">
        <f>IF(J313="","",J313-I313)</f>
        <v/>
      </c>
      <c r="L313" s="12">
        <f>IFERROR(VLOOKUP(D313,PRODUTOS!$A:$J,4,FALSE),"")</f>
        <v/>
      </c>
      <c r="M313" s="16" t="n"/>
      <c r="N313" s="11" t="n"/>
      <c r="O313" s="11" t="n"/>
      <c r="P313" s="13" t="n"/>
      <c r="Q313" s="11" t="n"/>
      <c r="R313" s="11" t="n"/>
      <c r="S313" s="11" t="n"/>
      <c r="T313" s="12">
        <f>IF(A313&lt;&gt;"SIM","NÃO MARCADA",IF(COUNTA(B313:H313,J313,M313:N313,P313:Q313)&lt;12,"PREENCHER OBRIGATÓRIOS",IF(OR(J313&lt;0,M313&lt;0),"VALOR INVÁLIDO","OK")))</f>
        <v/>
      </c>
    </row>
    <row r="314">
      <c r="A314" s="11" t="inlineStr">
        <is>
          <t>NÃO</t>
        </is>
      </c>
      <c r="B314" s="11" t="n"/>
      <c r="C314" s="11" t="n"/>
      <c r="D314" s="11" t="n"/>
      <c r="E314" s="12">
        <f>IFERROR(VLOOKUP(D314,PRODUTOS!$A:$J,2,FALSE),"")</f>
        <v/>
      </c>
      <c r="F314" s="11" t="n"/>
      <c r="G314" s="13" t="n"/>
      <c r="H314" s="11" t="inlineStr">
        <is>
          <t>DISPONÍVEL</t>
        </is>
      </c>
      <c r="I314" s="14" t="n"/>
      <c r="J314" s="15" t="n"/>
      <c r="K314" s="14">
        <f>IF(J314="","",J314-I314)</f>
        <v/>
      </c>
      <c r="L314" s="12">
        <f>IFERROR(VLOOKUP(D314,PRODUTOS!$A:$J,4,FALSE),"")</f>
        <v/>
      </c>
      <c r="M314" s="16" t="n"/>
      <c r="N314" s="11" t="n"/>
      <c r="O314" s="11" t="n"/>
      <c r="P314" s="13" t="n"/>
      <c r="Q314" s="11" t="n"/>
      <c r="R314" s="11" t="n"/>
      <c r="S314" s="11" t="n"/>
      <c r="T314" s="12">
        <f>IF(A314&lt;&gt;"SIM","NÃO MARCADA",IF(COUNTA(B314:H314,J314,M314:N314,P314:Q314)&lt;12,"PREENCHER OBRIGATÓRIOS",IF(OR(J314&lt;0,M314&lt;0),"VALOR INVÁLIDO","OK")))</f>
        <v/>
      </c>
    </row>
    <row r="315">
      <c r="A315" s="11" t="inlineStr">
        <is>
          <t>NÃO</t>
        </is>
      </c>
      <c r="B315" s="11" t="n"/>
      <c r="C315" s="11" t="n"/>
      <c r="D315" s="11" t="n"/>
      <c r="E315" s="12">
        <f>IFERROR(VLOOKUP(D315,PRODUTOS!$A:$J,2,FALSE),"")</f>
        <v/>
      </c>
      <c r="F315" s="11" t="n"/>
      <c r="G315" s="13" t="n"/>
      <c r="H315" s="11" t="inlineStr">
        <is>
          <t>DISPONÍVEL</t>
        </is>
      </c>
      <c r="I315" s="14" t="n"/>
      <c r="J315" s="15" t="n"/>
      <c r="K315" s="14">
        <f>IF(J315="","",J315-I315)</f>
        <v/>
      </c>
      <c r="L315" s="12">
        <f>IFERROR(VLOOKUP(D315,PRODUTOS!$A:$J,4,FALSE),"")</f>
        <v/>
      </c>
      <c r="M315" s="16" t="n"/>
      <c r="N315" s="11" t="n"/>
      <c r="O315" s="11" t="n"/>
      <c r="P315" s="13" t="n"/>
      <c r="Q315" s="11" t="n"/>
      <c r="R315" s="11" t="n"/>
      <c r="S315" s="11" t="n"/>
      <c r="T315" s="12">
        <f>IF(A315&lt;&gt;"SIM","NÃO MARCADA",IF(COUNTA(B315:H315,J315,M315:N315,P315:Q315)&lt;12,"PREENCHER OBRIGATÓRIOS",IF(OR(J315&lt;0,M315&lt;0),"VALOR INVÁLIDO","OK")))</f>
        <v/>
      </c>
    </row>
    <row r="316">
      <c r="A316" s="11" t="inlineStr">
        <is>
          <t>NÃO</t>
        </is>
      </c>
      <c r="B316" s="11" t="n"/>
      <c r="C316" s="11" t="n"/>
      <c r="D316" s="11" t="n"/>
      <c r="E316" s="12">
        <f>IFERROR(VLOOKUP(D316,PRODUTOS!$A:$J,2,FALSE),"")</f>
        <v/>
      </c>
      <c r="F316" s="11" t="n"/>
      <c r="G316" s="13" t="n"/>
      <c r="H316" s="11" t="inlineStr">
        <is>
          <t>DISPONÍVEL</t>
        </is>
      </c>
      <c r="I316" s="14" t="n"/>
      <c r="J316" s="15" t="n"/>
      <c r="K316" s="14">
        <f>IF(J316="","",J316-I316)</f>
        <v/>
      </c>
      <c r="L316" s="12">
        <f>IFERROR(VLOOKUP(D316,PRODUTOS!$A:$J,4,FALSE),"")</f>
        <v/>
      </c>
      <c r="M316" s="16" t="n"/>
      <c r="N316" s="11" t="n"/>
      <c r="O316" s="11" t="n"/>
      <c r="P316" s="13" t="n"/>
      <c r="Q316" s="11" t="n"/>
      <c r="R316" s="11" t="n"/>
      <c r="S316" s="11" t="n"/>
      <c r="T316" s="12">
        <f>IF(A316&lt;&gt;"SIM","NÃO MARCADA",IF(COUNTA(B316:H316,J316,M316:N316,P316:Q316)&lt;12,"PREENCHER OBRIGATÓRIOS",IF(OR(J316&lt;0,M316&lt;0),"VALOR INVÁLIDO","OK")))</f>
        <v/>
      </c>
    </row>
    <row r="317">
      <c r="A317" s="11" t="inlineStr">
        <is>
          <t>NÃO</t>
        </is>
      </c>
      <c r="B317" s="11" t="n"/>
      <c r="C317" s="11" t="n"/>
      <c r="D317" s="11" t="n"/>
      <c r="E317" s="12">
        <f>IFERROR(VLOOKUP(D317,PRODUTOS!$A:$J,2,FALSE),"")</f>
        <v/>
      </c>
      <c r="F317" s="11" t="n"/>
      <c r="G317" s="13" t="n"/>
      <c r="H317" s="11" t="inlineStr">
        <is>
          <t>DISPONÍVEL</t>
        </is>
      </c>
      <c r="I317" s="14" t="n"/>
      <c r="J317" s="15" t="n"/>
      <c r="K317" s="14">
        <f>IF(J317="","",J317-I317)</f>
        <v/>
      </c>
      <c r="L317" s="12">
        <f>IFERROR(VLOOKUP(D317,PRODUTOS!$A:$J,4,FALSE),"")</f>
        <v/>
      </c>
      <c r="M317" s="16" t="n"/>
      <c r="N317" s="11" t="n"/>
      <c r="O317" s="11" t="n"/>
      <c r="P317" s="13" t="n"/>
      <c r="Q317" s="11" t="n"/>
      <c r="R317" s="11" t="n"/>
      <c r="S317" s="11" t="n"/>
      <c r="T317" s="12">
        <f>IF(A317&lt;&gt;"SIM","NÃO MARCADA",IF(COUNTA(B317:H317,J317,M317:N317,P317:Q317)&lt;12,"PREENCHER OBRIGATÓRIOS",IF(OR(J317&lt;0,M317&lt;0),"VALOR INVÁLIDO","OK")))</f>
        <v/>
      </c>
    </row>
    <row r="318">
      <c r="A318" s="11" t="inlineStr">
        <is>
          <t>NÃO</t>
        </is>
      </c>
      <c r="B318" s="11" t="n"/>
      <c r="C318" s="11" t="n"/>
      <c r="D318" s="11" t="n"/>
      <c r="E318" s="12">
        <f>IFERROR(VLOOKUP(D318,PRODUTOS!$A:$J,2,FALSE),"")</f>
        <v/>
      </c>
      <c r="F318" s="11" t="n"/>
      <c r="G318" s="13" t="n"/>
      <c r="H318" s="11" t="inlineStr">
        <is>
          <t>DISPONÍVEL</t>
        </is>
      </c>
      <c r="I318" s="14" t="n"/>
      <c r="J318" s="15" t="n"/>
      <c r="K318" s="14">
        <f>IF(J318="","",J318-I318)</f>
        <v/>
      </c>
      <c r="L318" s="12">
        <f>IFERROR(VLOOKUP(D318,PRODUTOS!$A:$J,4,FALSE),"")</f>
        <v/>
      </c>
      <c r="M318" s="16" t="n"/>
      <c r="N318" s="11" t="n"/>
      <c r="O318" s="11" t="n"/>
      <c r="P318" s="13" t="n"/>
      <c r="Q318" s="11" t="n"/>
      <c r="R318" s="11" t="n"/>
      <c r="S318" s="11" t="n"/>
      <c r="T318" s="12">
        <f>IF(A318&lt;&gt;"SIM","NÃO MARCADA",IF(COUNTA(B318:H318,J318,M318:N318,P318:Q318)&lt;12,"PREENCHER OBRIGATÓRIOS",IF(OR(J318&lt;0,M318&lt;0),"VALOR INVÁLIDO","OK")))</f>
        <v/>
      </c>
    </row>
    <row r="319">
      <c r="A319" s="11" t="inlineStr">
        <is>
          <t>NÃO</t>
        </is>
      </c>
      <c r="B319" s="11" t="n"/>
      <c r="C319" s="11" t="n"/>
      <c r="D319" s="11" t="n"/>
      <c r="E319" s="12">
        <f>IFERROR(VLOOKUP(D319,PRODUTOS!$A:$J,2,FALSE),"")</f>
        <v/>
      </c>
      <c r="F319" s="11" t="n"/>
      <c r="G319" s="13" t="n"/>
      <c r="H319" s="11" t="inlineStr">
        <is>
          <t>DISPONÍVEL</t>
        </is>
      </c>
      <c r="I319" s="14" t="n"/>
      <c r="J319" s="15" t="n"/>
      <c r="K319" s="14">
        <f>IF(J319="","",J319-I319)</f>
        <v/>
      </c>
      <c r="L319" s="12">
        <f>IFERROR(VLOOKUP(D319,PRODUTOS!$A:$J,4,FALSE),"")</f>
        <v/>
      </c>
      <c r="M319" s="16" t="n"/>
      <c r="N319" s="11" t="n"/>
      <c r="O319" s="11" t="n"/>
      <c r="P319" s="13" t="n"/>
      <c r="Q319" s="11" t="n"/>
      <c r="R319" s="11" t="n"/>
      <c r="S319" s="11" t="n"/>
      <c r="T319" s="12">
        <f>IF(A319&lt;&gt;"SIM","NÃO MARCADA",IF(COUNTA(B319:H319,J319,M319:N319,P319:Q319)&lt;12,"PREENCHER OBRIGATÓRIOS",IF(OR(J319&lt;0,M319&lt;0),"VALOR INVÁLIDO","OK")))</f>
        <v/>
      </c>
    </row>
    <row r="320">
      <c r="A320" s="11" t="inlineStr">
        <is>
          <t>NÃO</t>
        </is>
      </c>
      <c r="B320" s="11" t="n"/>
      <c r="C320" s="11" t="n"/>
      <c r="D320" s="11" t="n"/>
      <c r="E320" s="12">
        <f>IFERROR(VLOOKUP(D320,PRODUTOS!$A:$J,2,FALSE),"")</f>
        <v/>
      </c>
      <c r="F320" s="11" t="n"/>
      <c r="G320" s="13" t="n"/>
      <c r="H320" s="11" t="inlineStr">
        <is>
          <t>DISPONÍVEL</t>
        </is>
      </c>
      <c r="I320" s="14" t="n"/>
      <c r="J320" s="15" t="n"/>
      <c r="K320" s="14">
        <f>IF(J320="","",J320-I320)</f>
        <v/>
      </c>
      <c r="L320" s="12">
        <f>IFERROR(VLOOKUP(D320,PRODUTOS!$A:$J,4,FALSE),"")</f>
        <v/>
      </c>
      <c r="M320" s="16" t="n"/>
      <c r="N320" s="11" t="n"/>
      <c r="O320" s="11" t="n"/>
      <c r="P320" s="13" t="n"/>
      <c r="Q320" s="11" t="n"/>
      <c r="R320" s="11" t="n"/>
      <c r="S320" s="11" t="n"/>
      <c r="T320" s="12">
        <f>IF(A320&lt;&gt;"SIM","NÃO MARCADA",IF(COUNTA(B320:H320,J320,M320:N320,P320:Q320)&lt;12,"PREENCHER OBRIGATÓRIOS",IF(OR(J320&lt;0,M320&lt;0),"VALOR INVÁLIDO","OK")))</f>
        <v/>
      </c>
    </row>
    <row r="321">
      <c r="A321" s="11" t="inlineStr">
        <is>
          <t>NÃO</t>
        </is>
      </c>
      <c r="B321" s="11" t="n"/>
      <c r="C321" s="11" t="n"/>
      <c r="D321" s="11" t="n"/>
      <c r="E321" s="12">
        <f>IFERROR(VLOOKUP(D321,PRODUTOS!$A:$J,2,FALSE),"")</f>
        <v/>
      </c>
      <c r="F321" s="11" t="n"/>
      <c r="G321" s="13" t="n"/>
      <c r="H321" s="11" t="inlineStr">
        <is>
          <t>DISPONÍVEL</t>
        </is>
      </c>
      <c r="I321" s="14" t="n"/>
      <c r="J321" s="15" t="n"/>
      <c r="K321" s="14">
        <f>IF(J321="","",J321-I321)</f>
        <v/>
      </c>
      <c r="L321" s="12">
        <f>IFERROR(VLOOKUP(D321,PRODUTOS!$A:$J,4,FALSE),"")</f>
        <v/>
      </c>
      <c r="M321" s="16" t="n"/>
      <c r="N321" s="11" t="n"/>
      <c r="O321" s="11" t="n"/>
      <c r="P321" s="13" t="n"/>
      <c r="Q321" s="11" t="n"/>
      <c r="R321" s="11" t="n"/>
      <c r="S321" s="11" t="n"/>
      <c r="T321" s="12">
        <f>IF(A321&lt;&gt;"SIM","NÃO MARCADA",IF(COUNTA(B321:H321,J321,M321:N321,P321:Q321)&lt;12,"PREENCHER OBRIGATÓRIOS",IF(OR(J321&lt;0,M321&lt;0),"VALOR INVÁLIDO","OK")))</f>
        <v/>
      </c>
    </row>
    <row r="322">
      <c r="A322" s="11" t="inlineStr">
        <is>
          <t>NÃO</t>
        </is>
      </c>
      <c r="B322" s="11" t="n"/>
      <c r="C322" s="11" t="n"/>
      <c r="D322" s="11" t="n"/>
      <c r="E322" s="12">
        <f>IFERROR(VLOOKUP(D322,PRODUTOS!$A:$J,2,FALSE),"")</f>
        <v/>
      </c>
      <c r="F322" s="11" t="n"/>
      <c r="G322" s="13" t="n"/>
      <c r="H322" s="11" t="inlineStr">
        <is>
          <t>DISPONÍVEL</t>
        </is>
      </c>
      <c r="I322" s="14" t="n"/>
      <c r="J322" s="15" t="n"/>
      <c r="K322" s="14">
        <f>IF(J322="","",J322-I322)</f>
        <v/>
      </c>
      <c r="L322" s="12">
        <f>IFERROR(VLOOKUP(D322,PRODUTOS!$A:$J,4,FALSE),"")</f>
        <v/>
      </c>
      <c r="M322" s="16" t="n"/>
      <c r="N322" s="11" t="n"/>
      <c r="O322" s="11" t="n"/>
      <c r="P322" s="13" t="n"/>
      <c r="Q322" s="11" t="n"/>
      <c r="R322" s="11" t="n"/>
      <c r="S322" s="11" t="n"/>
      <c r="T322" s="12">
        <f>IF(A322&lt;&gt;"SIM","NÃO MARCADA",IF(COUNTA(B322:H322,J322,M322:N322,P322:Q322)&lt;12,"PREENCHER OBRIGATÓRIOS",IF(OR(J322&lt;0,M322&lt;0),"VALOR INVÁLIDO","OK")))</f>
        <v/>
      </c>
    </row>
    <row r="323">
      <c r="A323" s="11" t="inlineStr">
        <is>
          <t>NÃO</t>
        </is>
      </c>
      <c r="B323" s="11" t="n"/>
      <c r="C323" s="11" t="n"/>
      <c r="D323" s="11" t="n"/>
      <c r="E323" s="12">
        <f>IFERROR(VLOOKUP(D323,PRODUTOS!$A:$J,2,FALSE),"")</f>
        <v/>
      </c>
      <c r="F323" s="11" t="n"/>
      <c r="G323" s="13" t="n"/>
      <c r="H323" s="11" t="inlineStr">
        <is>
          <t>DISPONÍVEL</t>
        </is>
      </c>
      <c r="I323" s="14" t="n"/>
      <c r="J323" s="15" t="n"/>
      <c r="K323" s="14">
        <f>IF(J323="","",J323-I323)</f>
        <v/>
      </c>
      <c r="L323" s="12">
        <f>IFERROR(VLOOKUP(D323,PRODUTOS!$A:$J,4,FALSE),"")</f>
        <v/>
      </c>
      <c r="M323" s="16" t="n"/>
      <c r="N323" s="11" t="n"/>
      <c r="O323" s="11" t="n"/>
      <c r="P323" s="13" t="n"/>
      <c r="Q323" s="11" t="n"/>
      <c r="R323" s="11" t="n"/>
      <c r="S323" s="11" t="n"/>
      <c r="T323" s="12">
        <f>IF(A323&lt;&gt;"SIM","NÃO MARCADA",IF(COUNTA(B323:H323,J323,M323:N323,P323:Q323)&lt;12,"PREENCHER OBRIGATÓRIOS",IF(OR(J323&lt;0,M323&lt;0),"VALOR INVÁLIDO","OK")))</f>
        <v/>
      </c>
    </row>
    <row r="324">
      <c r="A324" s="11" t="inlineStr">
        <is>
          <t>NÃO</t>
        </is>
      </c>
      <c r="B324" s="11" t="n"/>
      <c r="C324" s="11" t="n"/>
      <c r="D324" s="11" t="n"/>
      <c r="E324" s="12">
        <f>IFERROR(VLOOKUP(D324,PRODUTOS!$A:$J,2,FALSE),"")</f>
        <v/>
      </c>
      <c r="F324" s="11" t="n"/>
      <c r="G324" s="13" t="n"/>
      <c r="H324" s="11" t="inlineStr">
        <is>
          <t>DISPONÍVEL</t>
        </is>
      </c>
      <c r="I324" s="14" t="n"/>
      <c r="J324" s="15" t="n"/>
      <c r="K324" s="14">
        <f>IF(J324="","",J324-I324)</f>
        <v/>
      </c>
      <c r="L324" s="12">
        <f>IFERROR(VLOOKUP(D324,PRODUTOS!$A:$J,4,FALSE),"")</f>
        <v/>
      </c>
      <c r="M324" s="16" t="n"/>
      <c r="N324" s="11" t="n"/>
      <c r="O324" s="11" t="n"/>
      <c r="P324" s="13" t="n"/>
      <c r="Q324" s="11" t="n"/>
      <c r="R324" s="11" t="n"/>
      <c r="S324" s="11" t="n"/>
      <c r="T324" s="12">
        <f>IF(A324&lt;&gt;"SIM","NÃO MARCADA",IF(COUNTA(B324:H324,J324,M324:N324,P324:Q324)&lt;12,"PREENCHER OBRIGATÓRIOS",IF(OR(J324&lt;0,M324&lt;0),"VALOR INVÁLIDO","OK")))</f>
        <v/>
      </c>
    </row>
    <row r="325">
      <c r="A325" s="11" t="inlineStr">
        <is>
          <t>NÃO</t>
        </is>
      </c>
      <c r="B325" s="11" t="n"/>
      <c r="C325" s="11" t="n"/>
      <c r="D325" s="11" t="n"/>
      <c r="E325" s="12">
        <f>IFERROR(VLOOKUP(D325,PRODUTOS!$A:$J,2,FALSE),"")</f>
        <v/>
      </c>
      <c r="F325" s="11" t="n"/>
      <c r="G325" s="13" t="n"/>
      <c r="H325" s="11" t="inlineStr">
        <is>
          <t>DISPONÍVEL</t>
        </is>
      </c>
      <c r="I325" s="14" t="n"/>
      <c r="J325" s="15" t="n"/>
      <c r="K325" s="14">
        <f>IF(J325="","",J325-I325)</f>
        <v/>
      </c>
      <c r="L325" s="12">
        <f>IFERROR(VLOOKUP(D325,PRODUTOS!$A:$J,4,FALSE),"")</f>
        <v/>
      </c>
      <c r="M325" s="16" t="n"/>
      <c r="N325" s="11" t="n"/>
      <c r="O325" s="11" t="n"/>
      <c r="P325" s="13" t="n"/>
      <c r="Q325" s="11" t="n"/>
      <c r="R325" s="11" t="n"/>
      <c r="S325" s="11" t="n"/>
      <c r="T325" s="12">
        <f>IF(A325&lt;&gt;"SIM","NÃO MARCADA",IF(COUNTA(B325:H325,J325,M325:N325,P325:Q325)&lt;12,"PREENCHER OBRIGATÓRIOS",IF(OR(J325&lt;0,M325&lt;0),"VALOR INVÁLIDO","OK")))</f>
        <v/>
      </c>
    </row>
    <row r="326">
      <c r="A326" s="11" t="inlineStr">
        <is>
          <t>NÃO</t>
        </is>
      </c>
      <c r="B326" s="11" t="n"/>
      <c r="C326" s="11" t="n"/>
      <c r="D326" s="11" t="n"/>
      <c r="E326" s="12">
        <f>IFERROR(VLOOKUP(D326,PRODUTOS!$A:$J,2,FALSE),"")</f>
        <v/>
      </c>
      <c r="F326" s="11" t="n"/>
      <c r="G326" s="13" t="n"/>
      <c r="H326" s="11" t="inlineStr">
        <is>
          <t>DISPONÍVEL</t>
        </is>
      </c>
      <c r="I326" s="14" t="n"/>
      <c r="J326" s="15" t="n"/>
      <c r="K326" s="14">
        <f>IF(J326="","",J326-I326)</f>
        <v/>
      </c>
      <c r="L326" s="12">
        <f>IFERROR(VLOOKUP(D326,PRODUTOS!$A:$J,4,FALSE),"")</f>
        <v/>
      </c>
      <c r="M326" s="16" t="n"/>
      <c r="N326" s="11" t="n"/>
      <c r="O326" s="11" t="n"/>
      <c r="P326" s="13" t="n"/>
      <c r="Q326" s="11" t="n"/>
      <c r="R326" s="11" t="n"/>
      <c r="S326" s="11" t="n"/>
      <c r="T326" s="12">
        <f>IF(A326&lt;&gt;"SIM","NÃO MARCADA",IF(COUNTA(B326:H326,J326,M326:N326,P326:Q326)&lt;12,"PREENCHER OBRIGATÓRIOS",IF(OR(J326&lt;0,M326&lt;0),"VALOR INVÁLIDO","OK")))</f>
        <v/>
      </c>
    </row>
    <row r="327">
      <c r="A327" s="11" t="inlineStr">
        <is>
          <t>NÃO</t>
        </is>
      </c>
      <c r="B327" s="11" t="n"/>
      <c r="C327" s="11" t="n"/>
      <c r="D327" s="11" t="n"/>
      <c r="E327" s="12">
        <f>IFERROR(VLOOKUP(D327,PRODUTOS!$A:$J,2,FALSE),"")</f>
        <v/>
      </c>
      <c r="F327" s="11" t="n"/>
      <c r="G327" s="13" t="n"/>
      <c r="H327" s="11" t="inlineStr">
        <is>
          <t>DISPONÍVEL</t>
        </is>
      </c>
      <c r="I327" s="14" t="n"/>
      <c r="J327" s="15" t="n"/>
      <c r="K327" s="14">
        <f>IF(J327="","",J327-I327)</f>
        <v/>
      </c>
      <c r="L327" s="12">
        <f>IFERROR(VLOOKUP(D327,PRODUTOS!$A:$J,4,FALSE),"")</f>
        <v/>
      </c>
      <c r="M327" s="16" t="n"/>
      <c r="N327" s="11" t="n"/>
      <c r="O327" s="11" t="n"/>
      <c r="P327" s="13" t="n"/>
      <c r="Q327" s="11" t="n"/>
      <c r="R327" s="11" t="n"/>
      <c r="S327" s="11" t="n"/>
      <c r="T327" s="12">
        <f>IF(A327&lt;&gt;"SIM","NÃO MARCADA",IF(COUNTA(B327:H327,J327,M327:N327,P327:Q327)&lt;12,"PREENCHER OBRIGATÓRIOS",IF(OR(J327&lt;0,M327&lt;0),"VALOR INVÁLIDO","OK")))</f>
        <v/>
      </c>
    </row>
    <row r="328">
      <c r="A328" s="11" t="inlineStr">
        <is>
          <t>NÃO</t>
        </is>
      </c>
      <c r="B328" s="11" t="n"/>
      <c r="C328" s="11" t="n"/>
      <c r="D328" s="11" t="n"/>
      <c r="E328" s="12">
        <f>IFERROR(VLOOKUP(D328,PRODUTOS!$A:$J,2,FALSE),"")</f>
        <v/>
      </c>
      <c r="F328" s="11" t="n"/>
      <c r="G328" s="13" t="n"/>
      <c r="H328" s="11" t="inlineStr">
        <is>
          <t>DISPONÍVEL</t>
        </is>
      </c>
      <c r="I328" s="14" t="n"/>
      <c r="J328" s="15" t="n"/>
      <c r="K328" s="14">
        <f>IF(J328="","",J328-I328)</f>
        <v/>
      </c>
      <c r="L328" s="12">
        <f>IFERROR(VLOOKUP(D328,PRODUTOS!$A:$J,4,FALSE),"")</f>
        <v/>
      </c>
      <c r="M328" s="16" t="n"/>
      <c r="N328" s="11" t="n"/>
      <c r="O328" s="11" t="n"/>
      <c r="P328" s="13" t="n"/>
      <c r="Q328" s="11" t="n"/>
      <c r="R328" s="11" t="n"/>
      <c r="S328" s="11" t="n"/>
      <c r="T328" s="12">
        <f>IF(A328&lt;&gt;"SIM","NÃO MARCADA",IF(COUNTA(B328:H328,J328,M328:N328,P328:Q328)&lt;12,"PREENCHER OBRIGATÓRIOS",IF(OR(J328&lt;0,M328&lt;0),"VALOR INVÁLIDO","OK")))</f>
        <v/>
      </c>
    </row>
    <row r="329">
      <c r="A329" s="11" t="inlineStr">
        <is>
          <t>NÃO</t>
        </is>
      </c>
      <c r="B329" s="11" t="n"/>
      <c r="C329" s="11" t="n"/>
      <c r="D329" s="11" t="n"/>
      <c r="E329" s="12">
        <f>IFERROR(VLOOKUP(D329,PRODUTOS!$A:$J,2,FALSE),"")</f>
        <v/>
      </c>
      <c r="F329" s="11" t="n"/>
      <c r="G329" s="13" t="n"/>
      <c r="H329" s="11" t="inlineStr">
        <is>
          <t>DISPONÍVEL</t>
        </is>
      </c>
      <c r="I329" s="14" t="n"/>
      <c r="J329" s="15" t="n"/>
      <c r="K329" s="14">
        <f>IF(J329="","",J329-I329)</f>
        <v/>
      </c>
      <c r="L329" s="12">
        <f>IFERROR(VLOOKUP(D329,PRODUTOS!$A:$J,4,FALSE),"")</f>
        <v/>
      </c>
      <c r="M329" s="16" t="n"/>
      <c r="N329" s="11" t="n"/>
      <c r="O329" s="11" t="n"/>
      <c r="P329" s="13" t="n"/>
      <c r="Q329" s="11" t="n"/>
      <c r="R329" s="11" t="n"/>
      <c r="S329" s="11" t="n"/>
      <c r="T329" s="12">
        <f>IF(A329&lt;&gt;"SIM","NÃO MARCADA",IF(COUNTA(B329:H329,J329,M329:N329,P329:Q329)&lt;12,"PREENCHER OBRIGATÓRIOS",IF(OR(J329&lt;0,M329&lt;0),"VALOR INVÁLIDO","OK")))</f>
        <v/>
      </c>
    </row>
    <row r="330">
      <c r="A330" s="11" t="inlineStr">
        <is>
          <t>NÃO</t>
        </is>
      </c>
      <c r="B330" s="11" t="n"/>
      <c r="C330" s="11" t="n"/>
      <c r="D330" s="11" t="n"/>
      <c r="E330" s="12">
        <f>IFERROR(VLOOKUP(D330,PRODUTOS!$A:$J,2,FALSE),"")</f>
        <v/>
      </c>
      <c r="F330" s="11" t="n"/>
      <c r="G330" s="13" t="n"/>
      <c r="H330" s="11" t="inlineStr">
        <is>
          <t>DISPONÍVEL</t>
        </is>
      </c>
      <c r="I330" s="14" t="n"/>
      <c r="J330" s="15" t="n"/>
      <c r="K330" s="14">
        <f>IF(J330="","",J330-I330)</f>
        <v/>
      </c>
      <c r="L330" s="12">
        <f>IFERROR(VLOOKUP(D330,PRODUTOS!$A:$J,4,FALSE),"")</f>
        <v/>
      </c>
      <c r="M330" s="16" t="n"/>
      <c r="N330" s="11" t="n"/>
      <c r="O330" s="11" t="n"/>
      <c r="P330" s="13" t="n"/>
      <c r="Q330" s="11" t="n"/>
      <c r="R330" s="11" t="n"/>
      <c r="S330" s="11" t="n"/>
      <c r="T330" s="12">
        <f>IF(A330&lt;&gt;"SIM","NÃO MARCADA",IF(COUNTA(B330:H330,J330,M330:N330,P330:Q330)&lt;12,"PREENCHER OBRIGATÓRIOS",IF(OR(J330&lt;0,M330&lt;0),"VALOR INVÁLIDO","OK")))</f>
        <v/>
      </c>
    </row>
    <row r="331">
      <c r="A331" s="11" t="inlineStr">
        <is>
          <t>NÃO</t>
        </is>
      </c>
      <c r="B331" s="11" t="n"/>
      <c r="C331" s="11" t="n"/>
      <c r="D331" s="11" t="n"/>
      <c r="E331" s="12">
        <f>IFERROR(VLOOKUP(D331,PRODUTOS!$A:$J,2,FALSE),"")</f>
        <v/>
      </c>
      <c r="F331" s="11" t="n"/>
      <c r="G331" s="13" t="n"/>
      <c r="H331" s="11" t="inlineStr">
        <is>
          <t>DISPONÍVEL</t>
        </is>
      </c>
      <c r="I331" s="14" t="n"/>
      <c r="J331" s="15" t="n"/>
      <c r="K331" s="14">
        <f>IF(J331="","",J331-I331)</f>
        <v/>
      </c>
      <c r="L331" s="12">
        <f>IFERROR(VLOOKUP(D331,PRODUTOS!$A:$J,4,FALSE),"")</f>
        <v/>
      </c>
      <c r="M331" s="16" t="n"/>
      <c r="N331" s="11" t="n"/>
      <c r="O331" s="11" t="n"/>
      <c r="P331" s="13" t="n"/>
      <c r="Q331" s="11" t="n"/>
      <c r="R331" s="11" t="n"/>
      <c r="S331" s="11" t="n"/>
      <c r="T331" s="12">
        <f>IF(A331&lt;&gt;"SIM","NÃO MARCADA",IF(COUNTA(B331:H331,J331,M331:N331,P331:Q331)&lt;12,"PREENCHER OBRIGATÓRIOS",IF(OR(J331&lt;0,M331&lt;0),"VALOR INVÁLIDO","OK")))</f>
        <v/>
      </c>
    </row>
    <row r="332">
      <c r="A332" s="11" t="inlineStr">
        <is>
          <t>NÃO</t>
        </is>
      </c>
      <c r="B332" s="11" t="n"/>
      <c r="C332" s="11" t="n"/>
      <c r="D332" s="11" t="n"/>
      <c r="E332" s="12">
        <f>IFERROR(VLOOKUP(D332,PRODUTOS!$A:$J,2,FALSE),"")</f>
        <v/>
      </c>
      <c r="F332" s="11" t="n"/>
      <c r="G332" s="13" t="n"/>
      <c r="H332" s="11" t="inlineStr">
        <is>
          <t>DISPONÍVEL</t>
        </is>
      </c>
      <c r="I332" s="14" t="n"/>
      <c r="J332" s="15" t="n"/>
      <c r="K332" s="14">
        <f>IF(J332="","",J332-I332)</f>
        <v/>
      </c>
      <c r="L332" s="12">
        <f>IFERROR(VLOOKUP(D332,PRODUTOS!$A:$J,4,FALSE),"")</f>
        <v/>
      </c>
      <c r="M332" s="16" t="n"/>
      <c r="N332" s="11" t="n"/>
      <c r="O332" s="11" t="n"/>
      <c r="P332" s="13" t="n"/>
      <c r="Q332" s="11" t="n"/>
      <c r="R332" s="11" t="n"/>
      <c r="S332" s="11" t="n"/>
      <c r="T332" s="12">
        <f>IF(A332&lt;&gt;"SIM","NÃO MARCADA",IF(COUNTA(B332:H332,J332,M332:N332,P332:Q332)&lt;12,"PREENCHER OBRIGATÓRIOS",IF(OR(J332&lt;0,M332&lt;0),"VALOR INVÁLIDO","OK")))</f>
        <v/>
      </c>
    </row>
    <row r="333">
      <c r="A333" s="11" t="inlineStr">
        <is>
          <t>NÃO</t>
        </is>
      </c>
      <c r="B333" s="11" t="n"/>
      <c r="C333" s="11" t="n"/>
      <c r="D333" s="11" t="n"/>
      <c r="E333" s="12">
        <f>IFERROR(VLOOKUP(D333,PRODUTOS!$A:$J,2,FALSE),"")</f>
        <v/>
      </c>
      <c r="F333" s="11" t="n"/>
      <c r="G333" s="13" t="n"/>
      <c r="H333" s="11" t="inlineStr">
        <is>
          <t>DISPONÍVEL</t>
        </is>
      </c>
      <c r="I333" s="14" t="n"/>
      <c r="J333" s="15" t="n"/>
      <c r="K333" s="14">
        <f>IF(J333="","",J333-I333)</f>
        <v/>
      </c>
      <c r="L333" s="12">
        <f>IFERROR(VLOOKUP(D333,PRODUTOS!$A:$J,4,FALSE),"")</f>
        <v/>
      </c>
      <c r="M333" s="16" t="n"/>
      <c r="N333" s="11" t="n"/>
      <c r="O333" s="11" t="n"/>
      <c r="P333" s="13" t="n"/>
      <c r="Q333" s="11" t="n"/>
      <c r="R333" s="11" t="n"/>
      <c r="S333" s="11" t="n"/>
      <c r="T333" s="12">
        <f>IF(A333&lt;&gt;"SIM","NÃO MARCADA",IF(COUNTA(B333:H333,J333,M333:N333,P333:Q333)&lt;12,"PREENCHER OBRIGATÓRIOS",IF(OR(J333&lt;0,M333&lt;0),"VALOR INVÁLIDO","OK")))</f>
        <v/>
      </c>
    </row>
    <row r="334">
      <c r="A334" s="11" t="inlineStr">
        <is>
          <t>NÃO</t>
        </is>
      </c>
      <c r="B334" s="11" t="n"/>
      <c r="C334" s="11" t="n"/>
      <c r="D334" s="11" t="n"/>
      <c r="E334" s="12">
        <f>IFERROR(VLOOKUP(D334,PRODUTOS!$A:$J,2,FALSE),"")</f>
        <v/>
      </c>
      <c r="F334" s="11" t="n"/>
      <c r="G334" s="13" t="n"/>
      <c r="H334" s="11" t="inlineStr">
        <is>
          <t>DISPONÍVEL</t>
        </is>
      </c>
      <c r="I334" s="14" t="n"/>
      <c r="J334" s="15" t="n"/>
      <c r="K334" s="14">
        <f>IF(J334="","",J334-I334)</f>
        <v/>
      </c>
      <c r="L334" s="12">
        <f>IFERROR(VLOOKUP(D334,PRODUTOS!$A:$J,4,FALSE),"")</f>
        <v/>
      </c>
      <c r="M334" s="16" t="n"/>
      <c r="N334" s="11" t="n"/>
      <c r="O334" s="11" t="n"/>
      <c r="P334" s="13" t="n"/>
      <c r="Q334" s="11" t="n"/>
      <c r="R334" s="11" t="n"/>
      <c r="S334" s="11" t="n"/>
      <c r="T334" s="12">
        <f>IF(A334&lt;&gt;"SIM","NÃO MARCADA",IF(COUNTA(B334:H334,J334,M334:N334,P334:Q334)&lt;12,"PREENCHER OBRIGATÓRIOS",IF(OR(J334&lt;0,M334&lt;0),"VALOR INVÁLIDO","OK")))</f>
        <v/>
      </c>
    </row>
    <row r="335">
      <c r="A335" s="11" t="inlineStr">
        <is>
          <t>NÃO</t>
        </is>
      </c>
      <c r="B335" s="11" t="n"/>
      <c r="C335" s="11" t="n"/>
      <c r="D335" s="11" t="n"/>
      <c r="E335" s="12">
        <f>IFERROR(VLOOKUP(D335,PRODUTOS!$A:$J,2,FALSE),"")</f>
        <v/>
      </c>
      <c r="F335" s="11" t="n"/>
      <c r="G335" s="13" t="n"/>
      <c r="H335" s="11" t="inlineStr">
        <is>
          <t>DISPONÍVEL</t>
        </is>
      </c>
      <c r="I335" s="14" t="n"/>
      <c r="J335" s="15" t="n"/>
      <c r="K335" s="14">
        <f>IF(J335="","",J335-I335)</f>
        <v/>
      </c>
      <c r="L335" s="12">
        <f>IFERROR(VLOOKUP(D335,PRODUTOS!$A:$J,4,FALSE),"")</f>
        <v/>
      </c>
      <c r="M335" s="16" t="n"/>
      <c r="N335" s="11" t="n"/>
      <c r="O335" s="11" t="n"/>
      <c r="P335" s="13" t="n"/>
      <c r="Q335" s="11" t="n"/>
      <c r="R335" s="11" t="n"/>
      <c r="S335" s="11" t="n"/>
      <c r="T335" s="12">
        <f>IF(A335&lt;&gt;"SIM","NÃO MARCADA",IF(COUNTA(B335:H335,J335,M335:N335,P335:Q335)&lt;12,"PREENCHER OBRIGATÓRIOS",IF(OR(J335&lt;0,M335&lt;0),"VALOR INVÁLIDO","OK")))</f>
        <v/>
      </c>
    </row>
    <row r="336">
      <c r="A336" s="11" t="inlineStr">
        <is>
          <t>NÃO</t>
        </is>
      </c>
      <c r="B336" s="11" t="n"/>
      <c r="C336" s="11" t="n"/>
      <c r="D336" s="11" t="n"/>
      <c r="E336" s="12">
        <f>IFERROR(VLOOKUP(D336,PRODUTOS!$A:$J,2,FALSE),"")</f>
        <v/>
      </c>
      <c r="F336" s="11" t="n"/>
      <c r="G336" s="13" t="n"/>
      <c r="H336" s="11" t="inlineStr">
        <is>
          <t>DISPONÍVEL</t>
        </is>
      </c>
      <c r="I336" s="14" t="n"/>
      <c r="J336" s="15" t="n"/>
      <c r="K336" s="14">
        <f>IF(J336="","",J336-I336)</f>
        <v/>
      </c>
      <c r="L336" s="12">
        <f>IFERROR(VLOOKUP(D336,PRODUTOS!$A:$J,4,FALSE),"")</f>
        <v/>
      </c>
      <c r="M336" s="16" t="n"/>
      <c r="N336" s="11" t="n"/>
      <c r="O336" s="11" t="n"/>
      <c r="P336" s="13" t="n"/>
      <c r="Q336" s="11" t="n"/>
      <c r="R336" s="11" t="n"/>
      <c r="S336" s="11" t="n"/>
      <c r="T336" s="12">
        <f>IF(A336&lt;&gt;"SIM","NÃO MARCADA",IF(COUNTA(B336:H336,J336,M336:N336,P336:Q336)&lt;12,"PREENCHER OBRIGATÓRIOS",IF(OR(J336&lt;0,M336&lt;0),"VALOR INVÁLIDO","OK")))</f>
        <v/>
      </c>
    </row>
    <row r="337">
      <c r="A337" s="11" t="inlineStr">
        <is>
          <t>NÃO</t>
        </is>
      </c>
      <c r="B337" s="11" t="n"/>
      <c r="C337" s="11" t="n"/>
      <c r="D337" s="11" t="n"/>
      <c r="E337" s="12">
        <f>IFERROR(VLOOKUP(D337,PRODUTOS!$A:$J,2,FALSE),"")</f>
        <v/>
      </c>
      <c r="F337" s="11" t="n"/>
      <c r="G337" s="13" t="n"/>
      <c r="H337" s="11" t="inlineStr">
        <is>
          <t>DISPONÍVEL</t>
        </is>
      </c>
      <c r="I337" s="14" t="n"/>
      <c r="J337" s="15" t="n"/>
      <c r="K337" s="14">
        <f>IF(J337="","",J337-I337)</f>
        <v/>
      </c>
      <c r="L337" s="12">
        <f>IFERROR(VLOOKUP(D337,PRODUTOS!$A:$J,4,FALSE),"")</f>
        <v/>
      </c>
      <c r="M337" s="16" t="n"/>
      <c r="N337" s="11" t="n"/>
      <c r="O337" s="11" t="n"/>
      <c r="P337" s="13" t="n"/>
      <c r="Q337" s="11" t="n"/>
      <c r="R337" s="11" t="n"/>
      <c r="S337" s="11" t="n"/>
      <c r="T337" s="12">
        <f>IF(A337&lt;&gt;"SIM","NÃO MARCADA",IF(COUNTA(B337:H337,J337,M337:N337,P337:Q337)&lt;12,"PREENCHER OBRIGATÓRIOS",IF(OR(J337&lt;0,M337&lt;0),"VALOR INVÁLIDO","OK")))</f>
        <v/>
      </c>
    </row>
    <row r="338">
      <c r="A338" s="11" t="inlineStr">
        <is>
          <t>NÃO</t>
        </is>
      </c>
      <c r="B338" s="11" t="n"/>
      <c r="C338" s="11" t="n"/>
      <c r="D338" s="11" t="n"/>
      <c r="E338" s="12">
        <f>IFERROR(VLOOKUP(D338,PRODUTOS!$A:$J,2,FALSE),"")</f>
        <v/>
      </c>
      <c r="F338" s="11" t="n"/>
      <c r="G338" s="13" t="n"/>
      <c r="H338" s="11" t="inlineStr">
        <is>
          <t>DISPONÍVEL</t>
        </is>
      </c>
      <c r="I338" s="14" t="n"/>
      <c r="J338" s="15" t="n"/>
      <c r="K338" s="14">
        <f>IF(J338="","",J338-I338)</f>
        <v/>
      </c>
      <c r="L338" s="12">
        <f>IFERROR(VLOOKUP(D338,PRODUTOS!$A:$J,4,FALSE),"")</f>
        <v/>
      </c>
      <c r="M338" s="16" t="n"/>
      <c r="N338" s="11" t="n"/>
      <c r="O338" s="11" t="n"/>
      <c r="P338" s="13" t="n"/>
      <c r="Q338" s="11" t="n"/>
      <c r="R338" s="11" t="n"/>
      <c r="S338" s="11" t="n"/>
      <c r="T338" s="12">
        <f>IF(A338&lt;&gt;"SIM","NÃO MARCADA",IF(COUNTA(B338:H338,J338,M338:N338,P338:Q338)&lt;12,"PREENCHER OBRIGATÓRIOS",IF(OR(J338&lt;0,M338&lt;0),"VALOR INVÁLIDO","OK")))</f>
        <v/>
      </c>
    </row>
    <row r="339">
      <c r="A339" s="11" t="inlineStr">
        <is>
          <t>NÃO</t>
        </is>
      </c>
      <c r="B339" s="11" t="n"/>
      <c r="C339" s="11" t="n"/>
      <c r="D339" s="11" t="n"/>
      <c r="E339" s="12">
        <f>IFERROR(VLOOKUP(D339,PRODUTOS!$A:$J,2,FALSE),"")</f>
        <v/>
      </c>
      <c r="F339" s="11" t="n"/>
      <c r="G339" s="13" t="n"/>
      <c r="H339" s="11" t="inlineStr">
        <is>
          <t>DISPONÍVEL</t>
        </is>
      </c>
      <c r="I339" s="14" t="n"/>
      <c r="J339" s="15" t="n"/>
      <c r="K339" s="14">
        <f>IF(J339="","",J339-I339)</f>
        <v/>
      </c>
      <c r="L339" s="12">
        <f>IFERROR(VLOOKUP(D339,PRODUTOS!$A:$J,4,FALSE),"")</f>
        <v/>
      </c>
      <c r="M339" s="16" t="n"/>
      <c r="N339" s="11" t="n"/>
      <c r="O339" s="11" t="n"/>
      <c r="P339" s="13" t="n"/>
      <c r="Q339" s="11" t="n"/>
      <c r="R339" s="11" t="n"/>
      <c r="S339" s="11" t="n"/>
      <c r="T339" s="12">
        <f>IF(A339&lt;&gt;"SIM","NÃO MARCADA",IF(COUNTA(B339:H339,J339,M339:N339,P339:Q339)&lt;12,"PREENCHER OBRIGATÓRIOS",IF(OR(J339&lt;0,M339&lt;0),"VALOR INVÁLIDO","OK")))</f>
        <v/>
      </c>
    </row>
    <row r="340">
      <c r="A340" s="11" t="inlineStr">
        <is>
          <t>NÃO</t>
        </is>
      </c>
      <c r="B340" s="11" t="n"/>
      <c r="C340" s="11" t="n"/>
      <c r="D340" s="11" t="n"/>
      <c r="E340" s="12">
        <f>IFERROR(VLOOKUP(D340,PRODUTOS!$A:$J,2,FALSE),"")</f>
        <v/>
      </c>
      <c r="F340" s="11" t="n"/>
      <c r="G340" s="13" t="n"/>
      <c r="H340" s="11" t="inlineStr">
        <is>
          <t>DISPONÍVEL</t>
        </is>
      </c>
      <c r="I340" s="14" t="n"/>
      <c r="J340" s="15" t="n"/>
      <c r="K340" s="14">
        <f>IF(J340="","",J340-I340)</f>
        <v/>
      </c>
      <c r="L340" s="12">
        <f>IFERROR(VLOOKUP(D340,PRODUTOS!$A:$J,4,FALSE),"")</f>
        <v/>
      </c>
      <c r="M340" s="16" t="n"/>
      <c r="N340" s="11" t="n"/>
      <c r="O340" s="11" t="n"/>
      <c r="P340" s="13" t="n"/>
      <c r="Q340" s="11" t="n"/>
      <c r="R340" s="11" t="n"/>
      <c r="S340" s="11" t="n"/>
      <c r="T340" s="12">
        <f>IF(A340&lt;&gt;"SIM","NÃO MARCADA",IF(COUNTA(B340:H340,J340,M340:N340,P340:Q340)&lt;12,"PREENCHER OBRIGATÓRIOS",IF(OR(J340&lt;0,M340&lt;0),"VALOR INVÁLIDO","OK")))</f>
        <v/>
      </c>
    </row>
    <row r="341">
      <c r="A341" s="11" t="inlineStr">
        <is>
          <t>NÃO</t>
        </is>
      </c>
      <c r="B341" s="11" t="n"/>
      <c r="C341" s="11" t="n"/>
      <c r="D341" s="11" t="n"/>
      <c r="E341" s="12">
        <f>IFERROR(VLOOKUP(D341,PRODUTOS!$A:$J,2,FALSE),"")</f>
        <v/>
      </c>
      <c r="F341" s="11" t="n"/>
      <c r="G341" s="13" t="n"/>
      <c r="H341" s="11" t="inlineStr">
        <is>
          <t>DISPONÍVEL</t>
        </is>
      </c>
      <c r="I341" s="14" t="n"/>
      <c r="J341" s="15" t="n"/>
      <c r="K341" s="14">
        <f>IF(J341="","",J341-I341)</f>
        <v/>
      </c>
      <c r="L341" s="12">
        <f>IFERROR(VLOOKUP(D341,PRODUTOS!$A:$J,4,FALSE),"")</f>
        <v/>
      </c>
      <c r="M341" s="16" t="n"/>
      <c r="N341" s="11" t="n"/>
      <c r="O341" s="11" t="n"/>
      <c r="P341" s="13" t="n"/>
      <c r="Q341" s="11" t="n"/>
      <c r="R341" s="11" t="n"/>
      <c r="S341" s="11" t="n"/>
      <c r="T341" s="12">
        <f>IF(A341&lt;&gt;"SIM","NÃO MARCADA",IF(COUNTA(B341:H341,J341,M341:N341,P341:Q341)&lt;12,"PREENCHER OBRIGATÓRIOS",IF(OR(J341&lt;0,M341&lt;0),"VALOR INVÁLIDO","OK")))</f>
        <v/>
      </c>
    </row>
    <row r="342">
      <c r="A342" s="11" t="inlineStr">
        <is>
          <t>NÃO</t>
        </is>
      </c>
      <c r="B342" s="11" t="n"/>
      <c r="C342" s="11" t="n"/>
      <c r="D342" s="11" t="n"/>
      <c r="E342" s="12">
        <f>IFERROR(VLOOKUP(D342,PRODUTOS!$A:$J,2,FALSE),"")</f>
        <v/>
      </c>
      <c r="F342" s="11" t="n"/>
      <c r="G342" s="13" t="n"/>
      <c r="H342" s="11" t="inlineStr">
        <is>
          <t>DISPONÍVEL</t>
        </is>
      </c>
      <c r="I342" s="14" t="n"/>
      <c r="J342" s="15" t="n"/>
      <c r="K342" s="14">
        <f>IF(J342="","",J342-I342)</f>
        <v/>
      </c>
      <c r="L342" s="12">
        <f>IFERROR(VLOOKUP(D342,PRODUTOS!$A:$J,4,FALSE),"")</f>
        <v/>
      </c>
      <c r="M342" s="16" t="n"/>
      <c r="N342" s="11" t="n"/>
      <c r="O342" s="11" t="n"/>
      <c r="P342" s="13" t="n"/>
      <c r="Q342" s="11" t="n"/>
      <c r="R342" s="11" t="n"/>
      <c r="S342" s="11" t="n"/>
      <c r="T342" s="12">
        <f>IF(A342&lt;&gt;"SIM","NÃO MARCADA",IF(COUNTA(B342:H342,J342,M342:N342,P342:Q342)&lt;12,"PREENCHER OBRIGATÓRIOS",IF(OR(J342&lt;0,M342&lt;0),"VALOR INVÁLIDO","OK")))</f>
        <v/>
      </c>
    </row>
    <row r="343">
      <c r="A343" s="11" t="inlineStr">
        <is>
          <t>NÃO</t>
        </is>
      </c>
      <c r="B343" s="11" t="n"/>
      <c r="C343" s="11" t="n"/>
      <c r="D343" s="11" t="n"/>
      <c r="E343" s="12">
        <f>IFERROR(VLOOKUP(D343,PRODUTOS!$A:$J,2,FALSE),"")</f>
        <v/>
      </c>
      <c r="F343" s="11" t="n"/>
      <c r="G343" s="13" t="n"/>
      <c r="H343" s="11" t="inlineStr">
        <is>
          <t>DISPONÍVEL</t>
        </is>
      </c>
      <c r="I343" s="14" t="n"/>
      <c r="J343" s="15" t="n"/>
      <c r="K343" s="14">
        <f>IF(J343="","",J343-I343)</f>
        <v/>
      </c>
      <c r="L343" s="12">
        <f>IFERROR(VLOOKUP(D343,PRODUTOS!$A:$J,4,FALSE),"")</f>
        <v/>
      </c>
      <c r="M343" s="16" t="n"/>
      <c r="N343" s="11" t="n"/>
      <c r="O343" s="11" t="n"/>
      <c r="P343" s="13" t="n"/>
      <c r="Q343" s="11" t="n"/>
      <c r="R343" s="11" t="n"/>
      <c r="S343" s="11" t="n"/>
      <c r="T343" s="12">
        <f>IF(A343&lt;&gt;"SIM","NÃO MARCADA",IF(COUNTA(B343:H343,J343,M343:N343,P343:Q343)&lt;12,"PREENCHER OBRIGATÓRIOS",IF(OR(J343&lt;0,M343&lt;0),"VALOR INVÁLIDO","OK")))</f>
        <v/>
      </c>
    </row>
    <row r="344">
      <c r="A344" s="11" t="inlineStr">
        <is>
          <t>NÃO</t>
        </is>
      </c>
      <c r="B344" s="11" t="n"/>
      <c r="C344" s="11" t="n"/>
      <c r="D344" s="11" t="n"/>
      <c r="E344" s="12">
        <f>IFERROR(VLOOKUP(D344,PRODUTOS!$A:$J,2,FALSE),"")</f>
        <v/>
      </c>
      <c r="F344" s="11" t="n"/>
      <c r="G344" s="13" t="n"/>
      <c r="H344" s="11" t="inlineStr">
        <is>
          <t>DISPONÍVEL</t>
        </is>
      </c>
      <c r="I344" s="14" t="n"/>
      <c r="J344" s="15" t="n"/>
      <c r="K344" s="14">
        <f>IF(J344="","",J344-I344)</f>
        <v/>
      </c>
      <c r="L344" s="12">
        <f>IFERROR(VLOOKUP(D344,PRODUTOS!$A:$J,4,FALSE),"")</f>
        <v/>
      </c>
      <c r="M344" s="16" t="n"/>
      <c r="N344" s="11" t="n"/>
      <c r="O344" s="11" t="n"/>
      <c r="P344" s="13" t="n"/>
      <c r="Q344" s="11" t="n"/>
      <c r="R344" s="11" t="n"/>
      <c r="S344" s="11" t="n"/>
      <c r="T344" s="12">
        <f>IF(A344&lt;&gt;"SIM","NÃO MARCADA",IF(COUNTA(B344:H344,J344,M344:N344,P344:Q344)&lt;12,"PREENCHER OBRIGATÓRIOS",IF(OR(J344&lt;0,M344&lt;0),"VALOR INVÁLIDO","OK")))</f>
        <v/>
      </c>
    </row>
    <row r="345">
      <c r="A345" s="11" t="inlineStr">
        <is>
          <t>NÃO</t>
        </is>
      </c>
      <c r="B345" s="11" t="n"/>
      <c r="C345" s="11" t="n"/>
      <c r="D345" s="11" t="n"/>
      <c r="E345" s="12">
        <f>IFERROR(VLOOKUP(D345,PRODUTOS!$A:$J,2,FALSE),"")</f>
        <v/>
      </c>
      <c r="F345" s="11" t="n"/>
      <c r="G345" s="13" t="n"/>
      <c r="H345" s="11" t="inlineStr">
        <is>
          <t>DISPONÍVEL</t>
        </is>
      </c>
      <c r="I345" s="14" t="n"/>
      <c r="J345" s="15" t="n"/>
      <c r="K345" s="14">
        <f>IF(J345="","",J345-I345)</f>
        <v/>
      </c>
      <c r="L345" s="12">
        <f>IFERROR(VLOOKUP(D345,PRODUTOS!$A:$J,4,FALSE),"")</f>
        <v/>
      </c>
      <c r="M345" s="16" t="n"/>
      <c r="N345" s="11" t="n"/>
      <c r="O345" s="11" t="n"/>
      <c r="P345" s="13" t="n"/>
      <c r="Q345" s="11" t="n"/>
      <c r="R345" s="11" t="n"/>
      <c r="S345" s="11" t="n"/>
      <c r="T345" s="12">
        <f>IF(A345&lt;&gt;"SIM","NÃO MARCADA",IF(COUNTA(B345:H345,J345,M345:N345,P345:Q345)&lt;12,"PREENCHER OBRIGATÓRIOS",IF(OR(J345&lt;0,M345&lt;0),"VALOR INVÁLIDO","OK")))</f>
        <v/>
      </c>
    </row>
    <row r="346">
      <c r="A346" s="11" t="inlineStr">
        <is>
          <t>NÃO</t>
        </is>
      </c>
      <c r="B346" s="11" t="n"/>
      <c r="C346" s="11" t="n"/>
      <c r="D346" s="11" t="n"/>
      <c r="E346" s="12">
        <f>IFERROR(VLOOKUP(D346,PRODUTOS!$A:$J,2,FALSE),"")</f>
        <v/>
      </c>
      <c r="F346" s="11" t="n"/>
      <c r="G346" s="13" t="n"/>
      <c r="H346" s="11" t="inlineStr">
        <is>
          <t>DISPONÍVEL</t>
        </is>
      </c>
      <c r="I346" s="14" t="n"/>
      <c r="J346" s="15" t="n"/>
      <c r="K346" s="14">
        <f>IF(J346="","",J346-I346)</f>
        <v/>
      </c>
      <c r="L346" s="12">
        <f>IFERROR(VLOOKUP(D346,PRODUTOS!$A:$J,4,FALSE),"")</f>
        <v/>
      </c>
      <c r="M346" s="16" t="n"/>
      <c r="N346" s="11" t="n"/>
      <c r="O346" s="11" t="n"/>
      <c r="P346" s="13" t="n"/>
      <c r="Q346" s="11" t="n"/>
      <c r="R346" s="11" t="n"/>
      <c r="S346" s="11" t="n"/>
      <c r="T346" s="12">
        <f>IF(A346&lt;&gt;"SIM","NÃO MARCADA",IF(COUNTA(B346:H346,J346,M346:N346,P346:Q346)&lt;12,"PREENCHER OBRIGATÓRIOS",IF(OR(J346&lt;0,M346&lt;0),"VALOR INVÁLIDO","OK")))</f>
        <v/>
      </c>
    </row>
    <row r="347">
      <c r="A347" s="11" t="inlineStr">
        <is>
          <t>NÃO</t>
        </is>
      </c>
      <c r="B347" s="11" t="n"/>
      <c r="C347" s="11" t="n"/>
      <c r="D347" s="11" t="n"/>
      <c r="E347" s="12">
        <f>IFERROR(VLOOKUP(D347,PRODUTOS!$A:$J,2,FALSE),"")</f>
        <v/>
      </c>
      <c r="F347" s="11" t="n"/>
      <c r="G347" s="13" t="n"/>
      <c r="H347" s="11" t="inlineStr">
        <is>
          <t>DISPONÍVEL</t>
        </is>
      </c>
      <c r="I347" s="14" t="n"/>
      <c r="J347" s="15" t="n"/>
      <c r="K347" s="14">
        <f>IF(J347="","",J347-I347)</f>
        <v/>
      </c>
      <c r="L347" s="12">
        <f>IFERROR(VLOOKUP(D347,PRODUTOS!$A:$J,4,FALSE),"")</f>
        <v/>
      </c>
      <c r="M347" s="16" t="n"/>
      <c r="N347" s="11" t="n"/>
      <c r="O347" s="11" t="n"/>
      <c r="P347" s="13" t="n"/>
      <c r="Q347" s="11" t="n"/>
      <c r="R347" s="11" t="n"/>
      <c r="S347" s="11" t="n"/>
      <c r="T347" s="12">
        <f>IF(A347&lt;&gt;"SIM","NÃO MARCADA",IF(COUNTA(B347:H347,J347,M347:N347,P347:Q347)&lt;12,"PREENCHER OBRIGATÓRIOS",IF(OR(J347&lt;0,M347&lt;0),"VALOR INVÁLIDO","OK")))</f>
        <v/>
      </c>
    </row>
    <row r="348">
      <c r="A348" s="11" t="inlineStr">
        <is>
          <t>NÃO</t>
        </is>
      </c>
      <c r="B348" s="11" t="n"/>
      <c r="C348" s="11" t="n"/>
      <c r="D348" s="11" t="n"/>
      <c r="E348" s="12">
        <f>IFERROR(VLOOKUP(D348,PRODUTOS!$A:$J,2,FALSE),"")</f>
        <v/>
      </c>
      <c r="F348" s="11" t="n"/>
      <c r="G348" s="13" t="n"/>
      <c r="H348" s="11" t="inlineStr">
        <is>
          <t>DISPONÍVEL</t>
        </is>
      </c>
      <c r="I348" s="14" t="n"/>
      <c r="J348" s="15" t="n"/>
      <c r="K348" s="14">
        <f>IF(J348="","",J348-I348)</f>
        <v/>
      </c>
      <c r="L348" s="12">
        <f>IFERROR(VLOOKUP(D348,PRODUTOS!$A:$J,4,FALSE),"")</f>
        <v/>
      </c>
      <c r="M348" s="16" t="n"/>
      <c r="N348" s="11" t="n"/>
      <c r="O348" s="11" t="n"/>
      <c r="P348" s="13" t="n"/>
      <c r="Q348" s="11" t="n"/>
      <c r="R348" s="11" t="n"/>
      <c r="S348" s="11" t="n"/>
      <c r="T348" s="12">
        <f>IF(A348&lt;&gt;"SIM","NÃO MARCADA",IF(COUNTA(B348:H348,J348,M348:N348,P348:Q348)&lt;12,"PREENCHER OBRIGATÓRIOS",IF(OR(J348&lt;0,M348&lt;0),"VALOR INVÁLIDO","OK")))</f>
        <v/>
      </c>
    </row>
    <row r="349">
      <c r="A349" s="11" t="inlineStr">
        <is>
          <t>NÃO</t>
        </is>
      </c>
      <c r="B349" s="11" t="n"/>
      <c r="C349" s="11" t="n"/>
      <c r="D349" s="11" t="n"/>
      <c r="E349" s="12">
        <f>IFERROR(VLOOKUP(D349,PRODUTOS!$A:$J,2,FALSE),"")</f>
        <v/>
      </c>
      <c r="F349" s="11" t="n"/>
      <c r="G349" s="13" t="n"/>
      <c r="H349" s="11" t="inlineStr">
        <is>
          <t>DISPONÍVEL</t>
        </is>
      </c>
      <c r="I349" s="14" t="n"/>
      <c r="J349" s="15" t="n"/>
      <c r="K349" s="14">
        <f>IF(J349="","",J349-I349)</f>
        <v/>
      </c>
      <c r="L349" s="12">
        <f>IFERROR(VLOOKUP(D349,PRODUTOS!$A:$J,4,FALSE),"")</f>
        <v/>
      </c>
      <c r="M349" s="16" t="n"/>
      <c r="N349" s="11" t="n"/>
      <c r="O349" s="11" t="n"/>
      <c r="P349" s="13" t="n"/>
      <c r="Q349" s="11" t="n"/>
      <c r="R349" s="11" t="n"/>
      <c r="S349" s="11" t="n"/>
      <c r="T349" s="12">
        <f>IF(A349&lt;&gt;"SIM","NÃO MARCADA",IF(COUNTA(B349:H349,J349,M349:N349,P349:Q349)&lt;12,"PREENCHER OBRIGATÓRIOS",IF(OR(J349&lt;0,M349&lt;0),"VALOR INVÁLIDO","OK")))</f>
        <v/>
      </c>
    </row>
    <row r="350">
      <c r="A350" s="11" t="inlineStr">
        <is>
          <t>NÃO</t>
        </is>
      </c>
      <c r="B350" s="11" t="n"/>
      <c r="C350" s="11" t="n"/>
      <c r="D350" s="11" t="n"/>
      <c r="E350" s="12">
        <f>IFERROR(VLOOKUP(D350,PRODUTOS!$A:$J,2,FALSE),"")</f>
        <v/>
      </c>
      <c r="F350" s="11" t="n"/>
      <c r="G350" s="13" t="n"/>
      <c r="H350" s="11" t="inlineStr">
        <is>
          <t>DISPONÍVEL</t>
        </is>
      </c>
      <c r="I350" s="14" t="n"/>
      <c r="J350" s="15" t="n"/>
      <c r="K350" s="14">
        <f>IF(J350="","",J350-I350)</f>
        <v/>
      </c>
      <c r="L350" s="12">
        <f>IFERROR(VLOOKUP(D350,PRODUTOS!$A:$J,4,FALSE),"")</f>
        <v/>
      </c>
      <c r="M350" s="16" t="n"/>
      <c r="N350" s="11" t="n"/>
      <c r="O350" s="11" t="n"/>
      <c r="P350" s="13" t="n"/>
      <c r="Q350" s="11" t="n"/>
      <c r="R350" s="11" t="n"/>
      <c r="S350" s="11" t="n"/>
      <c r="T350" s="12">
        <f>IF(A350&lt;&gt;"SIM","NÃO MARCADA",IF(COUNTA(B350:H350,J350,M350:N350,P350:Q350)&lt;12,"PREENCHER OBRIGATÓRIOS",IF(OR(J350&lt;0,M350&lt;0),"VALOR INVÁLIDO","OK")))</f>
        <v/>
      </c>
    </row>
    <row r="351">
      <c r="A351" s="11" t="inlineStr">
        <is>
          <t>NÃO</t>
        </is>
      </c>
      <c r="B351" s="11" t="n"/>
      <c r="C351" s="11" t="n"/>
      <c r="D351" s="11" t="n"/>
      <c r="E351" s="12">
        <f>IFERROR(VLOOKUP(D351,PRODUTOS!$A:$J,2,FALSE),"")</f>
        <v/>
      </c>
      <c r="F351" s="11" t="n"/>
      <c r="G351" s="13" t="n"/>
      <c r="H351" s="11" t="inlineStr">
        <is>
          <t>DISPONÍVEL</t>
        </is>
      </c>
      <c r="I351" s="14" t="n"/>
      <c r="J351" s="15" t="n"/>
      <c r="K351" s="14">
        <f>IF(J351="","",J351-I351)</f>
        <v/>
      </c>
      <c r="L351" s="12">
        <f>IFERROR(VLOOKUP(D351,PRODUTOS!$A:$J,4,FALSE),"")</f>
        <v/>
      </c>
      <c r="M351" s="16" t="n"/>
      <c r="N351" s="11" t="n"/>
      <c r="O351" s="11" t="n"/>
      <c r="P351" s="13" t="n"/>
      <c r="Q351" s="11" t="n"/>
      <c r="R351" s="11" t="n"/>
      <c r="S351" s="11" t="n"/>
      <c r="T351" s="12">
        <f>IF(A351&lt;&gt;"SIM","NÃO MARCADA",IF(COUNTA(B351:H351,J351,M351:N351,P351:Q351)&lt;12,"PREENCHER OBRIGATÓRIOS",IF(OR(J351&lt;0,M351&lt;0),"VALOR INVÁLIDO","OK")))</f>
        <v/>
      </c>
    </row>
    <row r="352">
      <c r="A352" s="11" t="inlineStr">
        <is>
          <t>NÃO</t>
        </is>
      </c>
      <c r="B352" s="11" t="n"/>
      <c r="C352" s="11" t="n"/>
      <c r="D352" s="11" t="n"/>
      <c r="E352" s="12">
        <f>IFERROR(VLOOKUP(D352,PRODUTOS!$A:$J,2,FALSE),"")</f>
        <v/>
      </c>
      <c r="F352" s="11" t="n"/>
      <c r="G352" s="13" t="n"/>
      <c r="H352" s="11" t="inlineStr">
        <is>
          <t>DISPONÍVEL</t>
        </is>
      </c>
      <c r="I352" s="14" t="n"/>
      <c r="J352" s="15" t="n"/>
      <c r="K352" s="14">
        <f>IF(J352="","",J352-I352)</f>
        <v/>
      </c>
      <c r="L352" s="12">
        <f>IFERROR(VLOOKUP(D352,PRODUTOS!$A:$J,4,FALSE),"")</f>
        <v/>
      </c>
      <c r="M352" s="16" t="n"/>
      <c r="N352" s="11" t="n"/>
      <c r="O352" s="11" t="n"/>
      <c r="P352" s="13" t="n"/>
      <c r="Q352" s="11" t="n"/>
      <c r="R352" s="11" t="n"/>
      <c r="S352" s="11" t="n"/>
      <c r="T352" s="12">
        <f>IF(A352&lt;&gt;"SIM","NÃO MARCADA",IF(COUNTA(B352:H352,J352,M352:N352,P352:Q352)&lt;12,"PREENCHER OBRIGATÓRIOS",IF(OR(J352&lt;0,M352&lt;0),"VALOR INVÁLIDO","OK")))</f>
        <v/>
      </c>
    </row>
    <row r="353">
      <c r="A353" s="11" t="inlineStr">
        <is>
          <t>NÃO</t>
        </is>
      </c>
      <c r="B353" s="11" t="n"/>
      <c r="C353" s="11" t="n"/>
      <c r="D353" s="11" t="n"/>
      <c r="E353" s="12">
        <f>IFERROR(VLOOKUP(D353,PRODUTOS!$A:$J,2,FALSE),"")</f>
        <v/>
      </c>
      <c r="F353" s="11" t="n"/>
      <c r="G353" s="13" t="n"/>
      <c r="H353" s="11" t="inlineStr">
        <is>
          <t>DISPONÍVEL</t>
        </is>
      </c>
      <c r="I353" s="14" t="n"/>
      <c r="J353" s="15" t="n"/>
      <c r="K353" s="14">
        <f>IF(J353="","",J353-I353)</f>
        <v/>
      </c>
      <c r="L353" s="12">
        <f>IFERROR(VLOOKUP(D353,PRODUTOS!$A:$J,4,FALSE),"")</f>
        <v/>
      </c>
      <c r="M353" s="16" t="n"/>
      <c r="N353" s="11" t="n"/>
      <c r="O353" s="11" t="n"/>
      <c r="P353" s="13" t="n"/>
      <c r="Q353" s="11" t="n"/>
      <c r="R353" s="11" t="n"/>
      <c r="S353" s="11" t="n"/>
      <c r="T353" s="12">
        <f>IF(A353&lt;&gt;"SIM","NÃO MARCADA",IF(COUNTA(B353:H353,J353,M353:N353,P353:Q353)&lt;12,"PREENCHER OBRIGATÓRIOS",IF(OR(J353&lt;0,M353&lt;0),"VALOR INVÁLIDO","OK")))</f>
        <v/>
      </c>
    </row>
    <row r="354">
      <c r="A354" s="11" t="inlineStr">
        <is>
          <t>NÃO</t>
        </is>
      </c>
      <c r="B354" s="11" t="n"/>
      <c r="C354" s="11" t="n"/>
      <c r="D354" s="11" t="n"/>
      <c r="E354" s="12">
        <f>IFERROR(VLOOKUP(D354,PRODUTOS!$A:$J,2,FALSE),"")</f>
        <v/>
      </c>
      <c r="F354" s="11" t="n"/>
      <c r="G354" s="13" t="n"/>
      <c r="H354" s="11" t="inlineStr">
        <is>
          <t>DISPONÍVEL</t>
        </is>
      </c>
      <c r="I354" s="14" t="n"/>
      <c r="J354" s="15" t="n"/>
      <c r="K354" s="14">
        <f>IF(J354="","",J354-I354)</f>
        <v/>
      </c>
      <c r="L354" s="12">
        <f>IFERROR(VLOOKUP(D354,PRODUTOS!$A:$J,4,FALSE),"")</f>
        <v/>
      </c>
      <c r="M354" s="16" t="n"/>
      <c r="N354" s="11" t="n"/>
      <c r="O354" s="11" t="n"/>
      <c r="P354" s="13" t="n"/>
      <c r="Q354" s="11" t="n"/>
      <c r="R354" s="11" t="n"/>
      <c r="S354" s="11" t="n"/>
      <c r="T354" s="12">
        <f>IF(A354&lt;&gt;"SIM","NÃO MARCADA",IF(COUNTA(B354:H354,J354,M354:N354,P354:Q354)&lt;12,"PREENCHER OBRIGATÓRIOS",IF(OR(J354&lt;0,M354&lt;0),"VALOR INVÁLIDO","OK")))</f>
        <v/>
      </c>
    </row>
    <row r="355">
      <c r="A355" s="11" t="inlineStr">
        <is>
          <t>NÃO</t>
        </is>
      </c>
      <c r="B355" s="11" t="n"/>
      <c r="C355" s="11" t="n"/>
      <c r="D355" s="11" t="n"/>
      <c r="E355" s="12">
        <f>IFERROR(VLOOKUP(D355,PRODUTOS!$A:$J,2,FALSE),"")</f>
        <v/>
      </c>
      <c r="F355" s="11" t="n"/>
      <c r="G355" s="13" t="n"/>
      <c r="H355" s="11" t="inlineStr">
        <is>
          <t>DISPONÍVEL</t>
        </is>
      </c>
      <c r="I355" s="14" t="n"/>
      <c r="J355" s="15" t="n"/>
      <c r="K355" s="14">
        <f>IF(J355="","",J355-I355)</f>
        <v/>
      </c>
      <c r="L355" s="12">
        <f>IFERROR(VLOOKUP(D355,PRODUTOS!$A:$J,4,FALSE),"")</f>
        <v/>
      </c>
      <c r="M355" s="16" t="n"/>
      <c r="N355" s="11" t="n"/>
      <c r="O355" s="11" t="n"/>
      <c r="P355" s="13" t="n"/>
      <c r="Q355" s="11" t="n"/>
      <c r="R355" s="11" t="n"/>
      <c r="S355" s="11" t="n"/>
      <c r="T355" s="12">
        <f>IF(A355&lt;&gt;"SIM","NÃO MARCADA",IF(COUNTA(B355:H355,J355,M355:N355,P355:Q355)&lt;12,"PREENCHER OBRIGATÓRIOS",IF(OR(J355&lt;0,M355&lt;0),"VALOR INVÁLIDO","OK")))</f>
        <v/>
      </c>
    </row>
    <row r="356">
      <c r="A356" s="11" t="inlineStr">
        <is>
          <t>NÃO</t>
        </is>
      </c>
      <c r="B356" s="11" t="n"/>
      <c r="C356" s="11" t="n"/>
      <c r="D356" s="11" t="n"/>
      <c r="E356" s="12">
        <f>IFERROR(VLOOKUP(D356,PRODUTOS!$A:$J,2,FALSE),"")</f>
        <v/>
      </c>
      <c r="F356" s="11" t="n"/>
      <c r="G356" s="13" t="n"/>
      <c r="H356" s="11" t="inlineStr">
        <is>
          <t>DISPONÍVEL</t>
        </is>
      </c>
      <c r="I356" s="14" t="n"/>
      <c r="J356" s="15" t="n"/>
      <c r="K356" s="14">
        <f>IF(J356="","",J356-I356)</f>
        <v/>
      </c>
      <c r="L356" s="12">
        <f>IFERROR(VLOOKUP(D356,PRODUTOS!$A:$J,4,FALSE),"")</f>
        <v/>
      </c>
      <c r="M356" s="16" t="n"/>
      <c r="N356" s="11" t="n"/>
      <c r="O356" s="11" t="n"/>
      <c r="P356" s="13" t="n"/>
      <c r="Q356" s="11" t="n"/>
      <c r="R356" s="11" t="n"/>
      <c r="S356" s="11" t="n"/>
      <c r="T356" s="12">
        <f>IF(A356&lt;&gt;"SIM","NÃO MARCADA",IF(COUNTA(B356:H356,J356,M356:N356,P356:Q356)&lt;12,"PREENCHER OBRIGATÓRIOS",IF(OR(J356&lt;0,M356&lt;0),"VALOR INVÁLIDO","OK")))</f>
        <v/>
      </c>
    </row>
    <row r="357">
      <c r="A357" s="11" t="inlineStr">
        <is>
          <t>NÃO</t>
        </is>
      </c>
      <c r="B357" s="11" t="n"/>
      <c r="C357" s="11" t="n"/>
      <c r="D357" s="11" t="n"/>
      <c r="E357" s="12">
        <f>IFERROR(VLOOKUP(D357,PRODUTOS!$A:$J,2,FALSE),"")</f>
        <v/>
      </c>
      <c r="F357" s="11" t="n"/>
      <c r="G357" s="13" t="n"/>
      <c r="H357" s="11" t="inlineStr">
        <is>
          <t>DISPONÍVEL</t>
        </is>
      </c>
      <c r="I357" s="14" t="n"/>
      <c r="J357" s="15" t="n"/>
      <c r="K357" s="14">
        <f>IF(J357="","",J357-I357)</f>
        <v/>
      </c>
      <c r="L357" s="12">
        <f>IFERROR(VLOOKUP(D357,PRODUTOS!$A:$J,4,FALSE),"")</f>
        <v/>
      </c>
      <c r="M357" s="16" t="n"/>
      <c r="N357" s="11" t="n"/>
      <c r="O357" s="11" t="n"/>
      <c r="P357" s="13" t="n"/>
      <c r="Q357" s="11" t="n"/>
      <c r="R357" s="11" t="n"/>
      <c r="S357" s="11" t="n"/>
      <c r="T357" s="12">
        <f>IF(A357&lt;&gt;"SIM","NÃO MARCADA",IF(COUNTA(B357:H357,J357,M357:N357,P357:Q357)&lt;12,"PREENCHER OBRIGATÓRIOS",IF(OR(J357&lt;0,M357&lt;0),"VALOR INVÁLIDO","OK")))</f>
        <v/>
      </c>
    </row>
    <row r="358">
      <c r="A358" s="11" t="inlineStr">
        <is>
          <t>NÃO</t>
        </is>
      </c>
      <c r="B358" s="11" t="n"/>
      <c r="C358" s="11" t="n"/>
      <c r="D358" s="11" t="n"/>
      <c r="E358" s="12">
        <f>IFERROR(VLOOKUP(D358,PRODUTOS!$A:$J,2,FALSE),"")</f>
        <v/>
      </c>
      <c r="F358" s="11" t="n"/>
      <c r="G358" s="13" t="n"/>
      <c r="H358" s="11" t="inlineStr">
        <is>
          <t>DISPONÍVEL</t>
        </is>
      </c>
      <c r="I358" s="14" t="n"/>
      <c r="J358" s="15" t="n"/>
      <c r="K358" s="14">
        <f>IF(J358="","",J358-I358)</f>
        <v/>
      </c>
      <c r="L358" s="12">
        <f>IFERROR(VLOOKUP(D358,PRODUTOS!$A:$J,4,FALSE),"")</f>
        <v/>
      </c>
      <c r="M358" s="16" t="n"/>
      <c r="N358" s="11" t="n"/>
      <c r="O358" s="11" t="n"/>
      <c r="P358" s="13" t="n"/>
      <c r="Q358" s="11" t="n"/>
      <c r="R358" s="11" t="n"/>
      <c r="S358" s="11" t="n"/>
      <c r="T358" s="12">
        <f>IF(A358&lt;&gt;"SIM","NÃO MARCADA",IF(COUNTA(B358:H358,J358,M358:N358,P358:Q358)&lt;12,"PREENCHER OBRIGATÓRIOS",IF(OR(J358&lt;0,M358&lt;0),"VALOR INVÁLIDO","OK")))</f>
        <v/>
      </c>
    </row>
    <row r="359">
      <c r="A359" s="11" t="inlineStr">
        <is>
          <t>NÃO</t>
        </is>
      </c>
      <c r="B359" s="11" t="n"/>
      <c r="C359" s="11" t="n"/>
      <c r="D359" s="11" t="n"/>
      <c r="E359" s="12">
        <f>IFERROR(VLOOKUP(D359,PRODUTOS!$A:$J,2,FALSE),"")</f>
        <v/>
      </c>
      <c r="F359" s="11" t="n"/>
      <c r="G359" s="13" t="n"/>
      <c r="H359" s="11" t="inlineStr">
        <is>
          <t>DISPONÍVEL</t>
        </is>
      </c>
      <c r="I359" s="14" t="n"/>
      <c r="J359" s="15" t="n"/>
      <c r="K359" s="14">
        <f>IF(J359="","",J359-I359)</f>
        <v/>
      </c>
      <c r="L359" s="12">
        <f>IFERROR(VLOOKUP(D359,PRODUTOS!$A:$J,4,FALSE),"")</f>
        <v/>
      </c>
      <c r="M359" s="16" t="n"/>
      <c r="N359" s="11" t="n"/>
      <c r="O359" s="11" t="n"/>
      <c r="P359" s="13" t="n"/>
      <c r="Q359" s="11" t="n"/>
      <c r="R359" s="11" t="n"/>
      <c r="S359" s="11" t="n"/>
      <c r="T359" s="12">
        <f>IF(A359&lt;&gt;"SIM","NÃO MARCADA",IF(COUNTA(B359:H359,J359,M359:N359,P359:Q359)&lt;12,"PREENCHER OBRIGATÓRIOS",IF(OR(J359&lt;0,M359&lt;0),"VALOR INVÁLIDO","OK")))</f>
        <v/>
      </c>
    </row>
    <row r="360">
      <c r="A360" s="11" t="inlineStr">
        <is>
          <t>NÃO</t>
        </is>
      </c>
      <c r="B360" s="11" t="n"/>
      <c r="C360" s="11" t="n"/>
      <c r="D360" s="11" t="n"/>
      <c r="E360" s="12">
        <f>IFERROR(VLOOKUP(D360,PRODUTOS!$A:$J,2,FALSE),"")</f>
        <v/>
      </c>
      <c r="F360" s="11" t="n"/>
      <c r="G360" s="13" t="n"/>
      <c r="H360" s="11" t="inlineStr">
        <is>
          <t>DISPONÍVEL</t>
        </is>
      </c>
      <c r="I360" s="14" t="n"/>
      <c r="J360" s="15" t="n"/>
      <c r="K360" s="14">
        <f>IF(J360="","",J360-I360)</f>
        <v/>
      </c>
      <c r="L360" s="12">
        <f>IFERROR(VLOOKUP(D360,PRODUTOS!$A:$J,4,FALSE),"")</f>
        <v/>
      </c>
      <c r="M360" s="16" t="n"/>
      <c r="N360" s="11" t="n"/>
      <c r="O360" s="11" t="n"/>
      <c r="P360" s="13" t="n"/>
      <c r="Q360" s="11" t="n"/>
      <c r="R360" s="11" t="n"/>
      <c r="S360" s="11" t="n"/>
      <c r="T360" s="12">
        <f>IF(A360&lt;&gt;"SIM","NÃO MARCADA",IF(COUNTA(B360:H360,J360,M360:N360,P360:Q360)&lt;12,"PREENCHER OBRIGATÓRIOS",IF(OR(J360&lt;0,M360&lt;0),"VALOR INVÁLIDO","OK")))</f>
        <v/>
      </c>
    </row>
    <row r="361">
      <c r="A361" s="11" t="inlineStr">
        <is>
          <t>NÃO</t>
        </is>
      </c>
      <c r="B361" s="11" t="n"/>
      <c r="C361" s="11" t="n"/>
      <c r="D361" s="11" t="n"/>
      <c r="E361" s="12">
        <f>IFERROR(VLOOKUP(D361,PRODUTOS!$A:$J,2,FALSE),"")</f>
        <v/>
      </c>
      <c r="F361" s="11" t="n"/>
      <c r="G361" s="13" t="n"/>
      <c r="H361" s="11" t="inlineStr">
        <is>
          <t>DISPONÍVEL</t>
        </is>
      </c>
      <c r="I361" s="14" t="n"/>
      <c r="J361" s="15" t="n"/>
      <c r="K361" s="14">
        <f>IF(J361="","",J361-I361)</f>
        <v/>
      </c>
      <c r="L361" s="12">
        <f>IFERROR(VLOOKUP(D361,PRODUTOS!$A:$J,4,FALSE),"")</f>
        <v/>
      </c>
      <c r="M361" s="16" t="n"/>
      <c r="N361" s="11" t="n"/>
      <c r="O361" s="11" t="n"/>
      <c r="P361" s="13" t="n"/>
      <c r="Q361" s="11" t="n"/>
      <c r="R361" s="11" t="n"/>
      <c r="S361" s="11" t="n"/>
      <c r="T361" s="12">
        <f>IF(A361&lt;&gt;"SIM","NÃO MARCADA",IF(COUNTA(B361:H361,J361,M361:N361,P361:Q361)&lt;12,"PREENCHER OBRIGATÓRIOS",IF(OR(J361&lt;0,M361&lt;0),"VALOR INVÁLIDO","OK")))</f>
        <v/>
      </c>
    </row>
    <row r="362">
      <c r="A362" s="11" t="inlineStr">
        <is>
          <t>NÃO</t>
        </is>
      </c>
      <c r="B362" s="11" t="n"/>
      <c r="C362" s="11" t="n"/>
      <c r="D362" s="11" t="n"/>
      <c r="E362" s="12">
        <f>IFERROR(VLOOKUP(D362,PRODUTOS!$A:$J,2,FALSE),"")</f>
        <v/>
      </c>
      <c r="F362" s="11" t="n"/>
      <c r="G362" s="13" t="n"/>
      <c r="H362" s="11" t="inlineStr">
        <is>
          <t>DISPONÍVEL</t>
        </is>
      </c>
      <c r="I362" s="14" t="n"/>
      <c r="J362" s="15" t="n"/>
      <c r="K362" s="14">
        <f>IF(J362="","",J362-I362)</f>
        <v/>
      </c>
      <c r="L362" s="12">
        <f>IFERROR(VLOOKUP(D362,PRODUTOS!$A:$J,4,FALSE),"")</f>
        <v/>
      </c>
      <c r="M362" s="16" t="n"/>
      <c r="N362" s="11" t="n"/>
      <c r="O362" s="11" t="n"/>
      <c r="P362" s="13" t="n"/>
      <c r="Q362" s="11" t="n"/>
      <c r="R362" s="11" t="n"/>
      <c r="S362" s="11" t="n"/>
      <c r="T362" s="12">
        <f>IF(A362&lt;&gt;"SIM","NÃO MARCADA",IF(COUNTA(B362:H362,J362,M362:N362,P362:Q362)&lt;12,"PREENCHER OBRIGATÓRIOS",IF(OR(J362&lt;0,M362&lt;0),"VALOR INVÁLIDO","OK")))</f>
        <v/>
      </c>
    </row>
    <row r="363">
      <c r="A363" s="11" t="inlineStr">
        <is>
          <t>NÃO</t>
        </is>
      </c>
      <c r="B363" s="11" t="n"/>
      <c r="C363" s="11" t="n"/>
      <c r="D363" s="11" t="n"/>
      <c r="E363" s="12">
        <f>IFERROR(VLOOKUP(D363,PRODUTOS!$A:$J,2,FALSE),"")</f>
        <v/>
      </c>
      <c r="F363" s="11" t="n"/>
      <c r="G363" s="13" t="n"/>
      <c r="H363" s="11" t="inlineStr">
        <is>
          <t>DISPONÍVEL</t>
        </is>
      </c>
      <c r="I363" s="14" t="n"/>
      <c r="J363" s="15" t="n"/>
      <c r="K363" s="14">
        <f>IF(J363="","",J363-I363)</f>
        <v/>
      </c>
      <c r="L363" s="12">
        <f>IFERROR(VLOOKUP(D363,PRODUTOS!$A:$J,4,FALSE),"")</f>
        <v/>
      </c>
      <c r="M363" s="16" t="n"/>
      <c r="N363" s="11" t="n"/>
      <c r="O363" s="11" t="n"/>
      <c r="P363" s="13" t="n"/>
      <c r="Q363" s="11" t="n"/>
      <c r="R363" s="11" t="n"/>
      <c r="S363" s="11" t="n"/>
      <c r="T363" s="12">
        <f>IF(A363&lt;&gt;"SIM","NÃO MARCADA",IF(COUNTA(B363:H363,J363,M363:N363,P363:Q363)&lt;12,"PREENCHER OBRIGATÓRIOS",IF(OR(J363&lt;0,M363&lt;0),"VALOR INVÁLIDO","OK")))</f>
        <v/>
      </c>
    </row>
    <row r="364">
      <c r="A364" s="11" t="inlineStr">
        <is>
          <t>NÃO</t>
        </is>
      </c>
      <c r="B364" s="11" t="n"/>
      <c r="C364" s="11" t="n"/>
      <c r="D364" s="11" t="n"/>
      <c r="E364" s="12">
        <f>IFERROR(VLOOKUP(D364,PRODUTOS!$A:$J,2,FALSE),"")</f>
        <v/>
      </c>
      <c r="F364" s="11" t="n"/>
      <c r="G364" s="13" t="n"/>
      <c r="H364" s="11" t="inlineStr">
        <is>
          <t>DISPONÍVEL</t>
        </is>
      </c>
      <c r="I364" s="14" t="n"/>
      <c r="J364" s="15" t="n"/>
      <c r="K364" s="14">
        <f>IF(J364="","",J364-I364)</f>
        <v/>
      </c>
      <c r="L364" s="12">
        <f>IFERROR(VLOOKUP(D364,PRODUTOS!$A:$J,4,FALSE),"")</f>
        <v/>
      </c>
      <c r="M364" s="16" t="n"/>
      <c r="N364" s="11" t="n"/>
      <c r="O364" s="11" t="n"/>
      <c r="P364" s="13" t="n"/>
      <c r="Q364" s="11" t="n"/>
      <c r="R364" s="11" t="n"/>
      <c r="S364" s="11" t="n"/>
      <c r="T364" s="12">
        <f>IF(A364&lt;&gt;"SIM","NÃO MARCADA",IF(COUNTA(B364:H364,J364,M364:N364,P364:Q364)&lt;12,"PREENCHER OBRIGATÓRIOS",IF(OR(J364&lt;0,M364&lt;0),"VALOR INVÁLIDO","OK")))</f>
        <v/>
      </c>
    </row>
    <row r="365">
      <c r="A365" s="11" t="inlineStr">
        <is>
          <t>NÃO</t>
        </is>
      </c>
      <c r="B365" s="11" t="n"/>
      <c r="C365" s="11" t="n"/>
      <c r="D365" s="11" t="n"/>
      <c r="E365" s="12">
        <f>IFERROR(VLOOKUP(D365,PRODUTOS!$A:$J,2,FALSE),"")</f>
        <v/>
      </c>
      <c r="F365" s="11" t="n"/>
      <c r="G365" s="13" t="n"/>
      <c r="H365" s="11" t="inlineStr">
        <is>
          <t>DISPONÍVEL</t>
        </is>
      </c>
      <c r="I365" s="14" t="n"/>
      <c r="J365" s="15" t="n"/>
      <c r="K365" s="14">
        <f>IF(J365="","",J365-I365)</f>
        <v/>
      </c>
      <c r="L365" s="12">
        <f>IFERROR(VLOOKUP(D365,PRODUTOS!$A:$J,4,FALSE),"")</f>
        <v/>
      </c>
      <c r="M365" s="16" t="n"/>
      <c r="N365" s="11" t="n"/>
      <c r="O365" s="11" t="n"/>
      <c r="P365" s="13" t="n"/>
      <c r="Q365" s="11" t="n"/>
      <c r="R365" s="11" t="n"/>
      <c r="S365" s="11" t="n"/>
      <c r="T365" s="12">
        <f>IF(A365&lt;&gt;"SIM","NÃO MARCADA",IF(COUNTA(B365:H365,J365,M365:N365,P365:Q365)&lt;12,"PREENCHER OBRIGATÓRIOS",IF(OR(J365&lt;0,M365&lt;0),"VALOR INVÁLIDO","OK")))</f>
        <v/>
      </c>
    </row>
    <row r="366">
      <c r="A366" s="11" t="inlineStr">
        <is>
          <t>NÃO</t>
        </is>
      </c>
      <c r="B366" s="11" t="n"/>
      <c r="C366" s="11" t="n"/>
      <c r="D366" s="11" t="n"/>
      <c r="E366" s="12">
        <f>IFERROR(VLOOKUP(D366,PRODUTOS!$A:$J,2,FALSE),"")</f>
        <v/>
      </c>
      <c r="F366" s="11" t="n"/>
      <c r="G366" s="13" t="n"/>
      <c r="H366" s="11" t="inlineStr">
        <is>
          <t>DISPONÍVEL</t>
        </is>
      </c>
      <c r="I366" s="14" t="n"/>
      <c r="J366" s="15" t="n"/>
      <c r="K366" s="14">
        <f>IF(J366="","",J366-I366)</f>
        <v/>
      </c>
      <c r="L366" s="12">
        <f>IFERROR(VLOOKUP(D366,PRODUTOS!$A:$J,4,FALSE),"")</f>
        <v/>
      </c>
      <c r="M366" s="16" t="n"/>
      <c r="N366" s="11" t="n"/>
      <c r="O366" s="11" t="n"/>
      <c r="P366" s="13" t="n"/>
      <c r="Q366" s="11" t="n"/>
      <c r="R366" s="11" t="n"/>
      <c r="S366" s="11" t="n"/>
      <c r="T366" s="12">
        <f>IF(A366&lt;&gt;"SIM","NÃO MARCADA",IF(COUNTA(B366:H366,J366,M366:N366,P366:Q366)&lt;12,"PREENCHER OBRIGATÓRIOS",IF(OR(J366&lt;0,M366&lt;0),"VALOR INVÁLIDO","OK")))</f>
        <v/>
      </c>
    </row>
    <row r="367">
      <c r="A367" s="11" t="inlineStr">
        <is>
          <t>NÃO</t>
        </is>
      </c>
      <c r="B367" s="11" t="n"/>
      <c r="C367" s="11" t="n"/>
      <c r="D367" s="11" t="n"/>
      <c r="E367" s="12">
        <f>IFERROR(VLOOKUP(D367,PRODUTOS!$A:$J,2,FALSE),"")</f>
        <v/>
      </c>
      <c r="F367" s="11" t="n"/>
      <c r="G367" s="13" t="n"/>
      <c r="H367" s="11" t="inlineStr">
        <is>
          <t>DISPONÍVEL</t>
        </is>
      </c>
      <c r="I367" s="14" t="n"/>
      <c r="J367" s="15" t="n"/>
      <c r="K367" s="14">
        <f>IF(J367="","",J367-I367)</f>
        <v/>
      </c>
      <c r="L367" s="12">
        <f>IFERROR(VLOOKUP(D367,PRODUTOS!$A:$J,4,FALSE),"")</f>
        <v/>
      </c>
      <c r="M367" s="16" t="n"/>
      <c r="N367" s="11" t="n"/>
      <c r="O367" s="11" t="n"/>
      <c r="P367" s="13" t="n"/>
      <c r="Q367" s="11" t="n"/>
      <c r="R367" s="11" t="n"/>
      <c r="S367" s="11" t="n"/>
      <c r="T367" s="12">
        <f>IF(A367&lt;&gt;"SIM","NÃO MARCADA",IF(COUNTA(B367:H367,J367,M367:N367,P367:Q367)&lt;12,"PREENCHER OBRIGATÓRIOS",IF(OR(J367&lt;0,M367&lt;0),"VALOR INVÁLIDO","OK")))</f>
        <v/>
      </c>
    </row>
    <row r="368">
      <c r="A368" s="11" t="inlineStr">
        <is>
          <t>NÃO</t>
        </is>
      </c>
      <c r="B368" s="11" t="n"/>
      <c r="C368" s="11" t="n"/>
      <c r="D368" s="11" t="n"/>
      <c r="E368" s="12">
        <f>IFERROR(VLOOKUP(D368,PRODUTOS!$A:$J,2,FALSE),"")</f>
        <v/>
      </c>
      <c r="F368" s="11" t="n"/>
      <c r="G368" s="13" t="n"/>
      <c r="H368" s="11" t="inlineStr">
        <is>
          <t>DISPONÍVEL</t>
        </is>
      </c>
      <c r="I368" s="14" t="n"/>
      <c r="J368" s="15" t="n"/>
      <c r="K368" s="14">
        <f>IF(J368="","",J368-I368)</f>
        <v/>
      </c>
      <c r="L368" s="12">
        <f>IFERROR(VLOOKUP(D368,PRODUTOS!$A:$J,4,FALSE),"")</f>
        <v/>
      </c>
      <c r="M368" s="16" t="n"/>
      <c r="N368" s="11" t="n"/>
      <c r="O368" s="11" t="n"/>
      <c r="P368" s="13" t="n"/>
      <c r="Q368" s="11" t="n"/>
      <c r="R368" s="11" t="n"/>
      <c r="S368" s="11" t="n"/>
      <c r="T368" s="12">
        <f>IF(A368&lt;&gt;"SIM","NÃO MARCADA",IF(COUNTA(B368:H368,J368,M368:N368,P368:Q368)&lt;12,"PREENCHER OBRIGATÓRIOS",IF(OR(J368&lt;0,M368&lt;0),"VALOR INVÁLIDO","OK")))</f>
        <v/>
      </c>
    </row>
    <row r="369">
      <c r="A369" s="11" t="inlineStr">
        <is>
          <t>NÃO</t>
        </is>
      </c>
      <c r="B369" s="11" t="n"/>
      <c r="C369" s="11" t="n"/>
      <c r="D369" s="11" t="n"/>
      <c r="E369" s="12">
        <f>IFERROR(VLOOKUP(D369,PRODUTOS!$A:$J,2,FALSE),"")</f>
        <v/>
      </c>
      <c r="F369" s="11" t="n"/>
      <c r="G369" s="13" t="n"/>
      <c r="H369" s="11" t="inlineStr">
        <is>
          <t>DISPONÍVEL</t>
        </is>
      </c>
      <c r="I369" s="14" t="n"/>
      <c r="J369" s="15" t="n"/>
      <c r="K369" s="14">
        <f>IF(J369="","",J369-I369)</f>
        <v/>
      </c>
      <c r="L369" s="12">
        <f>IFERROR(VLOOKUP(D369,PRODUTOS!$A:$J,4,FALSE),"")</f>
        <v/>
      </c>
      <c r="M369" s="16" t="n"/>
      <c r="N369" s="11" t="n"/>
      <c r="O369" s="11" t="n"/>
      <c r="P369" s="13" t="n"/>
      <c r="Q369" s="11" t="n"/>
      <c r="R369" s="11" t="n"/>
      <c r="S369" s="11" t="n"/>
      <c r="T369" s="12">
        <f>IF(A369&lt;&gt;"SIM","NÃO MARCADA",IF(COUNTA(B369:H369,J369,M369:N369,P369:Q369)&lt;12,"PREENCHER OBRIGATÓRIOS",IF(OR(J369&lt;0,M369&lt;0),"VALOR INVÁLIDO","OK")))</f>
        <v/>
      </c>
    </row>
    <row r="370">
      <c r="A370" s="11" t="inlineStr">
        <is>
          <t>NÃO</t>
        </is>
      </c>
      <c r="B370" s="11" t="n"/>
      <c r="C370" s="11" t="n"/>
      <c r="D370" s="11" t="n"/>
      <c r="E370" s="12">
        <f>IFERROR(VLOOKUP(D370,PRODUTOS!$A:$J,2,FALSE),"")</f>
        <v/>
      </c>
      <c r="F370" s="11" t="n"/>
      <c r="G370" s="13" t="n"/>
      <c r="H370" s="11" t="inlineStr">
        <is>
          <t>DISPONÍVEL</t>
        </is>
      </c>
      <c r="I370" s="14" t="n"/>
      <c r="J370" s="15" t="n"/>
      <c r="K370" s="14">
        <f>IF(J370="","",J370-I370)</f>
        <v/>
      </c>
      <c r="L370" s="12">
        <f>IFERROR(VLOOKUP(D370,PRODUTOS!$A:$J,4,FALSE),"")</f>
        <v/>
      </c>
      <c r="M370" s="16" t="n"/>
      <c r="N370" s="11" t="n"/>
      <c r="O370" s="11" t="n"/>
      <c r="P370" s="13" t="n"/>
      <c r="Q370" s="11" t="n"/>
      <c r="R370" s="11" t="n"/>
      <c r="S370" s="11" t="n"/>
      <c r="T370" s="12">
        <f>IF(A370&lt;&gt;"SIM","NÃO MARCADA",IF(COUNTA(B370:H370,J370,M370:N370,P370:Q370)&lt;12,"PREENCHER OBRIGATÓRIOS",IF(OR(J370&lt;0,M370&lt;0),"VALOR INVÁLIDO","OK")))</f>
        <v/>
      </c>
    </row>
    <row r="371">
      <c r="A371" s="11" t="inlineStr">
        <is>
          <t>NÃO</t>
        </is>
      </c>
      <c r="B371" s="11" t="n"/>
      <c r="C371" s="11" t="n"/>
      <c r="D371" s="11" t="n"/>
      <c r="E371" s="12">
        <f>IFERROR(VLOOKUP(D371,PRODUTOS!$A:$J,2,FALSE),"")</f>
        <v/>
      </c>
      <c r="F371" s="11" t="n"/>
      <c r="G371" s="13" t="n"/>
      <c r="H371" s="11" t="inlineStr">
        <is>
          <t>DISPONÍVEL</t>
        </is>
      </c>
      <c r="I371" s="14" t="n"/>
      <c r="J371" s="15" t="n"/>
      <c r="K371" s="14">
        <f>IF(J371="","",J371-I371)</f>
        <v/>
      </c>
      <c r="L371" s="12">
        <f>IFERROR(VLOOKUP(D371,PRODUTOS!$A:$J,4,FALSE),"")</f>
        <v/>
      </c>
      <c r="M371" s="16" t="n"/>
      <c r="N371" s="11" t="n"/>
      <c r="O371" s="11" t="n"/>
      <c r="P371" s="13" t="n"/>
      <c r="Q371" s="11" t="n"/>
      <c r="R371" s="11" t="n"/>
      <c r="S371" s="11" t="n"/>
      <c r="T371" s="12">
        <f>IF(A371&lt;&gt;"SIM","NÃO MARCADA",IF(COUNTA(B371:H371,J371,M371:N371,P371:Q371)&lt;12,"PREENCHER OBRIGATÓRIOS",IF(OR(J371&lt;0,M371&lt;0),"VALOR INVÁLIDO","OK")))</f>
        <v/>
      </c>
    </row>
    <row r="372">
      <c r="A372" s="11" t="inlineStr">
        <is>
          <t>NÃO</t>
        </is>
      </c>
      <c r="B372" s="11" t="n"/>
      <c r="C372" s="11" t="n"/>
      <c r="D372" s="11" t="n"/>
      <c r="E372" s="12">
        <f>IFERROR(VLOOKUP(D372,PRODUTOS!$A:$J,2,FALSE),"")</f>
        <v/>
      </c>
      <c r="F372" s="11" t="n"/>
      <c r="G372" s="13" t="n"/>
      <c r="H372" s="11" t="inlineStr">
        <is>
          <t>DISPONÍVEL</t>
        </is>
      </c>
      <c r="I372" s="14" t="n"/>
      <c r="J372" s="15" t="n"/>
      <c r="K372" s="14">
        <f>IF(J372="","",J372-I372)</f>
        <v/>
      </c>
      <c r="L372" s="12">
        <f>IFERROR(VLOOKUP(D372,PRODUTOS!$A:$J,4,FALSE),"")</f>
        <v/>
      </c>
      <c r="M372" s="16" t="n"/>
      <c r="N372" s="11" t="n"/>
      <c r="O372" s="11" t="n"/>
      <c r="P372" s="13" t="n"/>
      <c r="Q372" s="11" t="n"/>
      <c r="R372" s="11" t="n"/>
      <c r="S372" s="11" t="n"/>
      <c r="T372" s="12">
        <f>IF(A372&lt;&gt;"SIM","NÃO MARCADA",IF(COUNTA(B372:H372,J372,M372:N372,P372:Q372)&lt;12,"PREENCHER OBRIGATÓRIOS",IF(OR(J372&lt;0,M372&lt;0),"VALOR INVÁLIDO","OK")))</f>
        <v/>
      </c>
    </row>
    <row r="373">
      <c r="A373" s="11" t="inlineStr">
        <is>
          <t>NÃO</t>
        </is>
      </c>
      <c r="B373" s="11" t="n"/>
      <c r="C373" s="11" t="n"/>
      <c r="D373" s="11" t="n"/>
      <c r="E373" s="12">
        <f>IFERROR(VLOOKUP(D373,PRODUTOS!$A:$J,2,FALSE),"")</f>
        <v/>
      </c>
      <c r="F373" s="11" t="n"/>
      <c r="G373" s="13" t="n"/>
      <c r="H373" s="11" t="inlineStr">
        <is>
          <t>DISPONÍVEL</t>
        </is>
      </c>
      <c r="I373" s="14" t="n"/>
      <c r="J373" s="15" t="n"/>
      <c r="K373" s="14">
        <f>IF(J373="","",J373-I373)</f>
        <v/>
      </c>
      <c r="L373" s="12">
        <f>IFERROR(VLOOKUP(D373,PRODUTOS!$A:$J,4,FALSE),"")</f>
        <v/>
      </c>
      <c r="M373" s="16" t="n"/>
      <c r="N373" s="11" t="n"/>
      <c r="O373" s="11" t="n"/>
      <c r="P373" s="13" t="n"/>
      <c r="Q373" s="11" t="n"/>
      <c r="R373" s="11" t="n"/>
      <c r="S373" s="11" t="n"/>
      <c r="T373" s="12">
        <f>IF(A373&lt;&gt;"SIM","NÃO MARCADA",IF(COUNTA(B373:H373,J373,M373:N373,P373:Q373)&lt;12,"PREENCHER OBRIGATÓRIOS",IF(OR(J373&lt;0,M373&lt;0),"VALOR INVÁLIDO","OK")))</f>
        <v/>
      </c>
    </row>
    <row r="374">
      <c r="A374" s="11" t="inlineStr">
        <is>
          <t>NÃO</t>
        </is>
      </c>
      <c r="B374" s="11" t="n"/>
      <c r="C374" s="11" t="n"/>
      <c r="D374" s="11" t="n"/>
      <c r="E374" s="12">
        <f>IFERROR(VLOOKUP(D374,PRODUTOS!$A:$J,2,FALSE),"")</f>
        <v/>
      </c>
      <c r="F374" s="11" t="n"/>
      <c r="G374" s="13" t="n"/>
      <c r="H374" s="11" t="inlineStr">
        <is>
          <t>DISPONÍVEL</t>
        </is>
      </c>
      <c r="I374" s="14" t="n"/>
      <c r="J374" s="15" t="n"/>
      <c r="K374" s="14">
        <f>IF(J374="","",J374-I374)</f>
        <v/>
      </c>
      <c r="L374" s="12">
        <f>IFERROR(VLOOKUP(D374,PRODUTOS!$A:$J,4,FALSE),"")</f>
        <v/>
      </c>
      <c r="M374" s="16" t="n"/>
      <c r="N374" s="11" t="n"/>
      <c r="O374" s="11" t="n"/>
      <c r="P374" s="13" t="n"/>
      <c r="Q374" s="11" t="n"/>
      <c r="R374" s="11" t="n"/>
      <c r="S374" s="11" t="n"/>
      <c r="T374" s="12">
        <f>IF(A374&lt;&gt;"SIM","NÃO MARCADA",IF(COUNTA(B374:H374,J374,M374:N374,P374:Q374)&lt;12,"PREENCHER OBRIGATÓRIOS",IF(OR(J374&lt;0,M374&lt;0),"VALOR INVÁLIDO","OK")))</f>
        <v/>
      </c>
    </row>
    <row r="375">
      <c r="A375" s="11" t="inlineStr">
        <is>
          <t>NÃO</t>
        </is>
      </c>
      <c r="B375" s="11" t="n"/>
      <c r="C375" s="11" t="n"/>
      <c r="D375" s="11" t="n"/>
      <c r="E375" s="12">
        <f>IFERROR(VLOOKUP(D375,PRODUTOS!$A:$J,2,FALSE),"")</f>
        <v/>
      </c>
      <c r="F375" s="11" t="n"/>
      <c r="G375" s="13" t="n"/>
      <c r="H375" s="11" t="inlineStr">
        <is>
          <t>DISPONÍVEL</t>
        </is>
      </c>
      <c r="I375" s="14" t="n"/>
      <c r="J375" s="15" t="n"/>
      <c r="K375" s="14">
        <f>IF(J375="","",J375-I375)</f>
        <v/>
      </c>
      <c r="L375" s="12">
        <f>IFERROR(VLOOKUP(D375,PRODUTOS!$A:$J,4,FALSE),"")</f>
        <v/>
      </c>
      <c r="M375" s="16" t="n"/>
      <c r="N375" s="11" t="n"/>
      <c r="O375" s="11" t="n"/>
      <c r="P375" s="13" t="n"/>
      <c r="Q375" s="11" t="n"/>
      <c r="R375" s="11" t="n"/>
      <c r="S375" s="11" t="n"/>
      <c r="T375" s="12">
        <f>IF(A375&lt;&gt;"SIM","NÃO MARCADA",IF(COUNTA(B375:H375,J375,M375:N375,P375:Q375)&lt;12,"PREENCHER OBRIGATÓRIOS",IF(OR(J375&lt;0,M375&lt;0),"VALOR INVÁLIDO","OK")))</f>
        <v/>
      </c>
    </row>
    <row r="376">
      <c r="A376" s="11" t="inlineStr">
        <is>
          <t>NÃO</t>
        </is>
      </c>
      <c r="B376" s="11" t="n"/>
      <c r="C376" s="11" t="n"/>
      <c r="D376" s="11" t="n"/>
      <c r="E376" s="12">
        <f>IFERROR(VLOOKUP(D376,PRODUTOS!$A:$J,2,FALSE),"")</f>
        <v/>
      </c>
      <c r="F376" s="11" t="n"/>
      <c r="G376" s="13" t="n"/>
      <c r="H376" s="11" t="inlineStr">
        <is>
          <t>DISPONÍVEL</t>
        </is>
      </c>
      <c r="I376" s="14" t="n"/>
      <c r="J376" s="15" t="n"/>
      <c r="K376" s="14">
        <f>IF(J376="","",J376-I376)</f>
        <v/>
      </c>
      <c r="L376" s="12">
        <f>IFERROR(VLOOKUP(D376,PRODUTOS!$A:$J,4,FALSE),"")</f>
        <v/>
      </c>
      <c r="M376" s="16" t="n"/>
      <c r="N376" s="11" t="n"/>
      <c r="O376" s="11" t="n"/>
      <c r="P376" s="13" t="n"/>
      <c r="Q376" s="11" t="n"/>
      <c r="R376" s="11" t="n"/>
      <c r="S376" s="11" t="n"/>
      <c r="T376" s="12">
        <f>IF(A376&lt;&gt;"SIM","NÃO MARCADA",IF(COUNTA(B376:H376,J376,M376:N376,P376:Q376)&lt;12,"PREENCHER OBRIGATÓRIOS",IF(OR(J376&lt;0,M376&lt;0),"VALOR INVÁLIDO","OK")))</f>
        <v/>
      </c>
    </row>
    <row r="377">
      <c r="A377" s="11" t="inlineStr">
        <is>
          <t>NÃO</t>
        </is>
      </c>
      <c r="B377" s="11" t="n"/>
      <c r="C377" s="11" t="n"/>
      <c r="D377" s="11" t="n"/>
      <c r="E377" s="12">
        <f>IFERROR(VLOOKUP(D377,PRODUTOS!$A:$J,2,FALSE),"")</f>
        <v/>
      </c>
      <c r="F377" s="11" t="n"/>
      <c r="G377" s="13" t="n"/>
      <c r="H377" s="11" t="inlineStr">
        <is>
          <t>DISPONÍVEL</t>
        </is>
      </c>
      <c r="I377" s="14" t="n"/>
      <c r="J377" s="15" t="n"/>
      <c r="K377" s="14">
        <f>IF(J377="","",J377-I377)</f>
        <v/>
      </c>
      <c r="L377" s="12">
        <f>IFERROR(VLOOKUP(D377,PRODUTOS!$A:$J,4,FALSE),"")</f>
        <v/>
      </c>
      <c r="M377" s="16" t="n"/>
      <c r="N377" s="11" t="n"/>
      <c r="O377" s="11" t="n"/>
      <c r="P377" s="13" t="n"/>
      <c r="Q377" s="11" t="n"/>
      <c r="R377" s="11" t="n"/>
      <c r="S377" s="11" t="n"/>
      <c r="T377" s="12">
        <f>IF(A377&lt;&gt;"SIM","NÃO MARCADA",IF(COUNTA(B377:H377,J377,M377:N377,P377:Q377)&lt;12,"PREENCHER OBRIGATÓRIOS",IF(OR(J377&lt;0,M377&lt;0),"VALOR INVÁLIDO","OK")))</f>
        <v/>
      </c>
    </row>
    <row r="378">
      <c r="A378" s="11" t="inlineStr">
        <is>
          <t>NÃO</t>
        </is>
      </c>
      <c r="B378" s="11" t="n"/>
      <c r="C378" s="11" t="n"/>
      <c r="D378" s="11" t="n"/>
      <c r="E378" s="12">
        <f>IFERROR(VLOOKUP(D378,PRODUTOS!$A:$J,2,FALSE),"")</f>
        <v/>
      </c>
      <c r="F378" s="11" t="n"/>
      <c r="G378" s="13" t="n"/>
      <c r="H378" s="11" t="inlineStr">
        <is>
          <t>DISPONÍVEL</t>
        </is>
      </c>
      <c r="I378" s="14" t="n"/>
      <c r="J378" s="15" t="n"/>
      <c r="K378" s="14">
        <f>IF(J378="","",J378-I378)</f>
        <v/>
      </c>
      <c r="L378" s="12">
        <f>IFERROR(VLOOKUP(D378,PRODUTOS!$A:$J,4,FALSE),"")</f>
        <v/>
      </c>
      <c r="M378" s="16" t="n"/>
      <c r="N378" s="11" t="n"/>
      <c r="O378" s="11" t="n"/>
      <c r="P378" s="13" t="n"/>
      <c r="Q378" s="11" t="n"/>
      <c r="R378" s="11" t="n"/>
      <c r="S378" s="11" t="n"/>
      <c r="T378" s="12">
        <f>IF(A378&lt;&gt;"SIM","NÃO MARCADA",IF(COUNTA(B378:H378,J378,M378:N378,P378:Q378)&lt;12,"PREENCHER OBRIGATÓRIOS",IF(OR(J378&lt;0,M378&lt;0),"VALOR INVÁLIDO","OK")))</f>
        <v/>
      </c>
    </row>
    <row r="379">
      <c r="A379" s="11" t="inlineStr">
        <is>
          <t>NÃO</t>
        </is>
      </c>
      <c r="B379" s="11" t="n"/>
      <c r="C379" s="11" t="n"/>
      <c r="D379" s="11" t="n"/>
      <c r="E379" s="12">
        <f>IFERROR(VLOOKUP(D379,PRODUTOS!$A:$J,2,FALSE),"")</f>
        <v/>
      </c>
      <c r="F379" s="11" t="n"/>
      <c r="G379" s="13" t="n"/>
      <c r="H379" s="11" t="inlineStr">
        <is>
          <t>DISPONÍVEL</t>
        </is>
      </c>
      <c r="I379" s="14" t="n"/>
      <c r="J379" s="15" t="n"/>
      <c r="K379" s="14">
        <f>IF(J379="","",J379-I379)</f>
        <v/>
      </c>
      <c r="L379" s="12">
        <f>IFERROR(VLOOKUP(D379,PRODUTOS!$A:$J,4,FALSE),"")</f>
        <v/>
      </c>
      <c r="M379" s="16" t="n"/>
      <c r="N379" s="11" t="n"/>
      <c r="O379" s="11" t="n"/>
      <c r="P379" s="13" t="n"/>
      <c r="Q379" s="11" t="n"/>
      <c r="R379" s="11" t="n"/>
      <c r="S379" s="11" t="n"/>
      <c r="T379" s="12">
        <f>IF(A379&lt;&gt;"SIM","NÃO MARCADA",IF(COUNTA(B379:H379,J379,M379:N379,P379:Q379)&lt;12,"PREENCHER OBRIGATÓRIOS",IF(OR(J379&lt;0,M379&lt;0),"VALOR INVÁLIDO","OK")))</f>
        <v/>
      </c>
    </row>
    <row r="380">
      <c r="A380" s="11" t="inlineStr">
        <is>
          <t>NÃO</t>
        </is>
      </c>
      <c r="B380" s="11" t="n"/>
      <c r="C380" s="11" t="n"/>
      <c r="D380" s="11" t="n"/>
      <c r="E380" s="12">
        <f>IFERROR(VLOOKUP(D380,PRODUTOS!$A:$J,2,FALSE),"")</f>
        <v/>
      </c>
      <c r="F380" s="11" t="n"/>
      <c r="G380" s="13" t="n"/>
      <c r="H380" s="11" t="inlineStr">
        <is>
          <t>DISPONÍVEL</t>
        </is>
      </c>
      <c r="I380" s="14" t="n"/>
      <c r="J380" s="15" t="n"/>
      <c r="K380" s="14">
        <f>IF(J380="","",J380-I380)</f>
        <v/>
      </c>
      <c r="L380" s="12">
        <f>IFERROR(VLOOKUP(D380,PRODUTOS!$A:$J,4,FALSE),"")</f>
        <v/>
      </c>
      <c r="M380" s="16" t="n"/>
      <c r="N380" s="11" t="n"/>
      <c r="O380" s="11" t="n"/>
      <c r="P380" s="13" t="n"/>
      <c r="Q380" s="11" t="n"/>
      <c r="R380" s="11" t="n"/>
      <c r="S380" s="11" t="n"/>
      <c r="T380" s="12">
        <f>IF(A380&lt;&gt;"SIM","NÃO MARCADA",IF(COUNTA(B380:H380,J380,M380:N380,P380:Q380)&lt;12,"PREENCHER OBRIGATÓRIOS",IF(OR(J380&lt;0,M380&lt;0),"VALOR INVÁLIDO","OK")))</f>
        <v/>
      </c>
    </row>
    <row r="381">
      <c r="A381" s="11" t="inlineStr">
        <is>
          <t>NÃO</t>
        </is>
      </c>
      <c r="B381" s="11" t="n"/>
      <c r="C381" s="11" t="n"/>
      <c r="D381" s="11" t="n"/>
      <c r="E381" s="12">
        <f>IFERROR(VLOOKUP(D381,PRODUTOS!$A:$J,2,FALSE),"")</f>
        <v/>
      </c>
      <c r="F381" s="11" t="n"/>
      <c r="G381" s="13" t="n"/>
      <c r="H381" s="11" t="inlineStr">
        <is>
          <t>DISPONÍVEL</t>
        </is>
      </c>
      <c r="I381" s="14" t="n"/>
      <c r="J381" s="15" t="n"/>
      <c r="K381" s="14">
        <f>IF(J381="","",J381-I381)</f>
        <v/>
      </c>
      <c r="L381" s="12">
        <f>IFERROR(VLOOKUP(D381,PRODUTOS!$A:$J,4,FALSE),"")</f>
        <v/>
      </c>
      <c r="M381" s="16" t="n"/>
      <c r="N381" s="11" t="n"/>
      <c r="O381" s="11" t="n"/>
      <c r="P381" s="13" t="n"/>
      <c r="Q381" s="11" t="n"/>
      <c r="R381" s="11" t="n"/>
      <c r="S381" s="11" t="n"/>
      <c r="T381" s="12">
        <f>IF(A381&lt;&gt;"SIM","NÃO MARCADA",IF(COUNTA(B381:H381,J381,M381:N381,P381:Q381)&lt;12,"PREENCHER OBRIGATÓRIOS",IF(OR(J381&lt;0,M381&lt;0),"VALOR INVÁLIDO","OK")))</f>
        <v/>
      </c>
    </row>
    <row r="382">
      <c r="A382" s="11" t="inlineStr">
        <is>
          <t>NÃO</t>
        </is>
      </c>
      <c r="B382" s="11" t="n"/>
      <c r="C382" s="11" t="n"/>
      <c r="D382" s="11" t="n"/>
      <c r="E382" s="12">
        <f>IFERROR(VLOOKUP(D382,PRODUTOS!$A:$J,2,FALSE),"")</f>
        <v/>
      </c>
      <c r="F382" s="11" t="n"/>
      <c r="G382" s="13" t="n"/>
      <c r="H382" s="11" t="inlineStr">
        <is>
          <t>DISPONÍVEL</t>
        </is>
      </c>
      <c r="I382" s="14" t="n"/>
      <c r="J382" s="15" t="n"/>
      <c r="K382" s="14">
        <f>IF(J382="","",J382-I382)</f>
        <v/>
      </c>
      <c r="L382" s="12">
        <f>IFERROR(VLOOKUP(D382,PRODUTOS!$A:$J,4,FALSE),"")</f>
        <v/>
      </c>
      <c r="M382" s="16" t="n"/>
      <c r="N382" s="11" t="n"/>
      <c r="O382" s="11" t="n"/>
      <c r="P382" s="13" t="n"/>
      <c r="Q382" s="11" t="n"/>
      <c r="R382" s="11" t="n"/>
      <c r="S382" s="11" t="n"/>
      <c r="T382" s="12">
        <f>IF(A382&lt;&gt;"SIM","NÃO MARCADA",IF(COUNTA(B382:H382,J382,M382:N382,P382:Q382)&lt;12,"PREENCHER OBRIGATÓRIOS",IF(OR(J382&lt;0,M382&lt;0),"VALOR INVÁLIDO","OK")))</f>
        <v/>
      </c>
    </row>
    <row r="383">
      <c r="A383" s="11" t="inlineStr">
        <is>
          <t>NÃO</t>
        </is>
      </c>
      <c r="B383" s="11" t="n"/>
      <c r="C383" s="11" t="n"/>
      <c r="D383" s="11" t="n"/>
      <c r="E383" s="12">
        <f>IFERROR(VLOOKUP(D383,PRODUTOS!$A:$J,2,FALSE),"")</f>
        <v/>
      </c>
      <c r="F383" s="11" t="n"/>
      <c r="G383" s="13" t="n"/>
      <c r="H383" s="11" t="inlineStr">
        <is>
          <t>DISPONÍVEL</t>
        </is>
      </c>
      <c r="I383" s="14" t="n"/>
      <c r="J383" s="15" t="n"/>
      <c r="K383" s="14">
        <f>IF(J383="","",J383-I383)</f>
        <v/>
      </c>
      <c r="L383" s="12">
        <f>IFERROR(VLOOKUP(D383,PRODUTOS!$A:$J,4,FALSE),"")</f>
        <v/>
      </c>
      <c r="M383" s="16" t="n"/>
      <c r="N383" s="11" t="n"/>
      <c r="O383" s="11" t="n"/>
      <c r="P383" s="13" t="n"/>
      <c r="Q383" s="11" t="n"/>
      <c r="R383" s="11" t="n"/>
      <c r="S383" s="11" t="n"/>
      <c r="T383" s="12">
        <f>IF(A383&lt;&gt;"SIM","NÃO MARCADA",IF(COUNTA(B383:H383,J383,M383:N383,P383:Q383)&lt;12,"PREENCHER OBRIGATÓRIOS",IF(OR(J383&lt;0,M383&lt;0),"VALOR INVÁLIDO","OK")))</f>
        <v/>
      </c>
    </row>
    <row r="384">
      <c r="A384" s="11" t="inlineStr">
        <is>
          <t>NÃO</t>
        </is>
      </c>
      <c r="B384" s="11" t="n"/>
      <c r="C384" s="11" t="n"/>
      <c r="D384" s="11" t="n"/>
      <c r="E384" s="12">
        <f>IFERROR(VLOOKUP(D384,PRODUTOS!$A:$J,2,FALSE),"")</f>
        <v/>
      </c>
      <c r="F384" s="11" t="n"/>
      <c r="G384" s="13" t="n"/>
      <c r="H384" s="11" t="inlineStr">
        <is>
          <t>DISPONÍVEL</t>
        </is>
      </c>
      <c r="I384" s="14" t="n"/>
      <c r="J384" s="15" t="n"/>
      <c r="K384" s="14">
        <f>IF(J384="","",J384-I384)</f>
        <v/>
      </c>
      <c r="L384" s="12">
        <f>IFERROR(VLOOKUP(D384,PRODUTOS!$A:$J,4,FALSE),"")</f>
        <v/>
      </c>
      <c r="M384" s="16" t="n"/>
      <c r="N384" s="11" t="n"/>
      <c r="O384" s="11" t="n"/>
      <c r="P384" s="13" t="n"/>
      <c r="Q384" s="11" t="n"/>
      <c r="R384" s="11" t="n"/>
      <c r="S384" s="11" t="n"/>
      <c r="T384" s="12">
        <f>IF(A384&lt;&gt;"SIM","NÃO MARCADA",IF(COUNTA(B384:H384,J384,M384:N384,P384:Q384)&lt;12,"PREENCHER OBRIGATÓRIOS",IF(OR(J384&lt;0,M384&lt;0),"VALOR INVÁLIDO","OK")))</f>
        <v/>
      </c>
    </row>
    <row r="385">
      <c r="A385" s="11" t="inlineStr">
        <is>
          <t>NÃO</t>
        </is>
      </c>
      <c r="B385" s="11" t="n"/>
      <c r="C385" s="11" t="n"/>
      <c r="D385" s="11" t="n"/>
      <c r="E385" s="12">
        <f>IFERROR(VLOOKUP(D385,PRODUTOS!$A:$J,2,FALSE),"")</f>
        <v/>
      </c>
      <c r="F385" s="11" t="n"/>
      <c r="G385" s="13" t="n"/>
      <c r="H385" s="11" t="inlineStr">
        <is>
          <t>DISPONÍVEL</t>
        </is>
      </c>
      <c r="I385" s="14" t="n"/>
      <c r="J385" s="15" t="n"/>
      <c r="K385" s="14">
        <f>IF(J385="","",J385-I385)</f>
        <v/>
      </c>
      <c r="L385" s="12">
        <f>IFERROR(VLOOKUP(D385,PRODUTOS!$A:$J,4,FALSE),"")</f>
        <v/>
      </c>
      <c r="M385" s="16" t="n"/>
      <c r="N385" s="11" t="n"/>
      <c r="O385" s="11" t="n"/>
      <c r="P385" s="13" t="n"/>
      <c r="Q385" s="11" t="n"/>
      <c r="R385" s="11" t="n"/>
      <c r="S385" s="11" t="n"/>
      <c r="T385" s="12">
        <f>IF(A385&lt;&gt;"SIM","NÃO MARCADA",IF(COUNTA(B385:H385,J385,M385:N385,P385:Q385)&lt;12,"PREENCHER OBRIGATÓRIOS",IF(OR(J385&lt;0,M385&lt;0),"VALOR INVÁLIDO","OK")))</f>
        <v/>
      </c>
    </row>
    <row r="386">
      <c r="A386" s="11" t="inlineStr">
        <is>
          <t>NÃO</t>
        </is>
      </c>
      <c r="B386" s="11" t="n"/>
      <c r="C386" s="11" t="n"/>
      <c r="D386" s="11" t="n"/>
      <c r="E386" s="12">
        <f>IFERROR(VLOOKUP(D386,PRODUTOS!$A:$J,2,FALSE),"")</f>
        <v/>
      </c>
      <c r="F386" s="11" t="n"/>
      <c r="G386" s="13" t="n"/>
      <c r="H386" s="11" t="inlineStr">
        <is>
          <t>DISPONÍVEL</t>
        </is>
      </c>
      <c r="I386" s="14" t="n"/>
      <c r="J386" s="15" t="n"/>
      <c r="K386" s="14">
        <f>IF(J386="","",J386-I386)</f>
        <v/>
      </c>
      <c r="L386" s="12">
        <f>IFERROR(VLOOKUP(D386,PRODUTOS!$A:$J,4,FALSE),"")</f>
        <v/>
      </c>
      <c r="M386" s="16" t="n"/>
      <c r="N386" s="11" t="n"/>
      <c r="O386" s="11" t="n"/>
      <c r="P386" s="13" t="n"/>
      <c r="Q386" s="11" t="n"/>
      <c r="R386" s="11" t="n"/>
      <c r="S386" s="11" t="n"/>
      <c r="T386" s="12">
        <f>IF(A386&lt;&gt;"SIM","NÃO MARCADA",IF(COUNTA(B386:H386,J386,M386:N386,P386:Q386)&lt;12,"PREENCHER OBRIGATÓRIOS",IF(OR(J386&lt;0,M386&lt;0),"VALOR INVÁLIDO","OK")))</f>
        <v/>
      </c>
    </row>
    <row r="387">
      <c r="A387" s="11" t="inlineStr">
        <is>
          <t>NÃO</t>
        </is>
      </c>
      <c r="B387" s="11" t="n"/>
      <c r="C387" s="11" t="n"/>
      <c r="D387" s="11" t="n"/>
      <c r="E387" s="12">
        <f>IFERROR(VLOOKUP(D387,PRODUTOS!$A:$J,2,FALSE),"")</f>
        <v/>
      </c>
      <c r="F387" s="11" t="n"/>
      <c r="G387" s="13" t="n"/>
      <c r="H387" s="11" t="inlineStr">
        <is>
          <t>DISPONÍVEL</t>
        </is>
      </c>
      <c r="I387" s="14" t="n"/>
      <c r="J387" s="15" t="n"/>
      <c r="K387" s="14">
        <f>IF(J387="","",J387-I387)</f>
        <v/>
      </c>
      <c r="L387" s="12">
        <f>IFERROR(VLOOKUP(D387,PRODUTOS!$A:$J,4,FALSE),"")</f>
        <v/>
      </c>
      <c r="M387" s="16" t="n"/>
      <c r="N387" s="11" t="n"/>
      <c r="O387" s="11" t="n"/>
      <c r="P387" s="13" t="n"/>
      <c r="Q387" s="11" t="n"/>
      <c r="R387" s="11" t="n"/>
      <c r="S387" s="11" t="n"/>
      <c r="T387" s="12">
        <f>IF(A387&lt;&gt;"SIM","NÃO MARCADA",IF(COUNTA(B387:H387,J387,M387:N387,P387:Q387)&lt;12,"PREENCHER OBRIGATÓRIOS",IF(OR(J387&lt;0,M387&lt;0),"VALOR INVÁLIDO","OK")))</f>
        <v/>
      </c>
    </row>
    <row r="388">
      <c r="A388" s="11" t="inlineStr">
        <is>
          <t>NÃO</t>
        </is>
      </c>
      <c r="B388" s="11" t="n"/>
      <c r="C388" s="11" t="n"/>
      <c r="D388" s="11" t="n"/>
      <c r="E388" s="12">
        <f>IFERROR(VLOOKUP(D388,PRODUTOS!$A:$J,2,FALSE),"")</f>
        <v/>
      </c>
      <c r="F388" s="11" t="n"/>
      <c r="G388" s="13" t="n"/>
      <c r="H388" s="11" t="inlineStr">
        <is>
          <t>DISPONÍVEL</t>
        </is>
      </c>
      <c r="I388" s="14" t="n"/>
      <c r="J388" s="15" t="n"/>
      <c r="K388" s="14">
        <f>IF(J388="","",J388-I388)</f>
        <v/>
      </c>
      <c r="L388" s="12">
        <f>IFERROR(VLOOKUP(D388,PRODUTOS!$A:$J,4,FALSE),"")</f>
        <v/>
      </c>
      <c r="M388" s="16" t="n"/>
      <c r="N388" s="11" t="n"/>
      <c r="O388" s="11" t="n"/>
      <c r="P388" s="13" t="n"/>
      <c r="Q388" s="11" t="n"/>
      <c r="R388" s="11" t="n"/>
      <c r="S388" s="11" t="n"/>
      <c r="T388" s="12">
        <f>IF(A388&lt;&gt;"SIM","NÃO MARCADA",IF(COUNTA(B388:H388,J388,M388:N388,P388:Q388)&lt;12,"PREENCHER OBRIGATÓRIOS",IF(OR(J388&lt;0,M388&lt;0),"VALOR INVÁLIDO","OK")))</f>
        <v/>
      </c>
    </row>
    <row r="389">
      <c r="A389" s="11" t="inlineStr">
        <is>
          <t>NÃO</t>
        </is>
      </c>
      <c r="B389" s="11" t="n"/>
      <c r="C389" s="11" t="n"/>
      <c r="D389" s="11" t="n"/>
      <c r="E389" s="12">
        <f>IFERROR(VLOOKUP(D389,PRODUTOS!$A:$J,2,FALSE),"")</f>
        <v/>
      </c>
      <c r="F389" s="11" t="n"/>
      <c r="G389" s="13" t="n"/>
      <c r="H389" s="11" t="inlineStr">
        <is>
          <t>DISPONÍVEL</t>
        </is>
      </c>
      <c r="I389" s="14" t="n"/>
      <c r="J389" s="15" t="n"/>
      <c r="K389" s="14">
        <f>IF(J389="","",J389-I389)</f>
        <v/>
      </c>
      <c r="L389" s="12">
        <f>IFERROR(VLOOKUP(D389,PRODUTOS!$A:$J,4,FALSE),"")</f>
        <v/>
      </c>
      <c r="M389" s="16" t="n"/>
      <c r="N389" s="11" t="n"/>
      <c r="O389" s="11" t="n"/>
      <c r="P389" s="13" t="n"/>
      <c r="Q389" s="11" t="n"/>
      <c r="R389" s="11" t="n"/>
      <c r="S389" s="11" t="n"/>
      <c r="T389" s="12">
        <f>IF(A389&lt;&gt;"SIM","NÃO MARCADA",IF(COUNTA(B389:H389,J389,M389:N389,P389:Q389)&lt;12,"PREENCHER OBRIGATÓRIOS",IF(OR(J389&lt;0,M389&lt;0),"VALOR INVÁLIDO","OK")))</f>
        <v/>
      </c>
    </row>
    <row r="390">
      <c r="A390" s="11" t="inlineStr">
        <is>
          <t>NÃO</t>
        </is>
      </c>
      <c r="B390" s="11" t="n"/>
      <c r="C390" s="11" t="n"/>
      <c r="D390" s="11" t="n"/>
      <c r="E390" s="12">
        <f>IFERROR(VLOOKUP(D390,PRODUTOS!$A:$J,2,FALSE),"")</f>
        <v/>
      </c>
      <c r="F390" s="11" t="n"/>
      <c r="G390" s="13" t="n"/>
      <c r="H390" s="11" t="inlineStr">
        <is>
          <t>DISPONÍVEL</t>
        </is>
      </c>
      <c r="I390" s="14" t="n"/>
      <c r="J390" s="15" t="n"/>
      <c r="K390" s="14">
        <f>IF(J390="","",J390-I390)</f>
        <v/>
      </c>
      <c r="L390" s="12">
        <f>IFERROR(VLOOKUP(D390,PRODUTOS!$A:$J,4,FALSE),"")</f>
        <v/>
      </c>
      <c r="M390" s="16" t="n"/>
      <c r="N390" s="11" t="n"/>
      <c r="O390" s="11" t="n"/>
      <c r="P390" s="13" t="n"/>
      <c r="Q390" s="11" t="n"/>
      <c r="R390" s="11" t="n"/>
      <c r="S390" s="11" t="n"/>
      <c r="T390" s="12">
        <f>IF(A390&lt;&gt;"SIM","NÃO MARCADA",IF(COUNTA(B390:H390,J390,M390:N390,P390:Q390)&lt;12,"PREENCHER OBRIGATÓRIOS",IF(OR(J390&lt;0,M390&lt;0),"VALOR INVÁLIDO","OK")))</f>
        <v/>
      </c>
    </row>
    <row r="391">
      <c r="A391" s="11" t="inlineStr">
        <is>
          <t>NÃO</t>
        </is>
      </c>
      <c r="B391" s="11" t="n"/>
      <c r="C391" s="11" t="n"/>
      <c r="D391" s="11" t="n"/>
      <c r="E391" s="12">
        <f>IFERROR(VLOOKUP(D391,PRODUTOS!$A:$J,2,FALSE),"")</f>
        <v/>
      </c>
      <c r="F391" s="11" t="n"/>
      <c r="G391" s="13" t="n"/>
      <c r="H391" s="11" t="inlineStr">
        <is>
          <t>DISPONÍVEL</t>
        </is>
      </c>
      <c r="I391" s="14" t="n"/>
      <c r="J391" s="15" t="n"/>
      <c r="K391" s="14">
        <f>IF(J391="","",J391-I391)</f>
        <v/>
      </c>
      <c r="L391" s="12">
        <f>IFERROR(VLOOKUP(D391,PRODUTOS!$A:$J,4,FALSE),"")</f>
        <v/>
      </c>
      <c r="M391" s="16" t="n"/>
      <c r="N391" s="11" t="n"/>
      <c r="O391" s="11" t="n"/>
      <c r="P391" s="13" t="n"/>
      <c r="Q391" s="11" t="n"/>
      <c r="R391" s="11" t="n"/>
      <c r="S391" s="11" t="n"/>
      <c r="T391" s="12">
        <f>IF(A391&lt;&gt;"SIM","NÃO MARCADA",IF(COUNTA(B391:H391,J391,M391:N391,P391:Q391)&lt;12,"PREENCHER OBRIGATÓRIOS",IF(OR(J391&lt;0,M391&lt;0),"VALOR INVÁLIDO","OK")))</f>
        <v/>
      </c>
    </row>
    <row r="392">
      <c r="A392" s="11" t="inlineStr">
        <is>
          <t>NÃO</t>
        </is>
      </c>
      <c r="B392" s="11" t="n"/>
      <c r="C392" s="11" t="n"/>
      <c r="D392" s="11" t="n"/>
      <c r="E392" s="12">
        <f>IFERROR(VLOOKUP(D392,PRODUTOS!$A:$J,2,FALSE),"")</f>
        <v/>
      </c>
      <c r="F392" s="11" t="n"/>
      <c r="G392" s="13" t="n"/>
      <c r="H392" s="11" t="inlineStr">
        <is>
          <t>DISPONÍVEL</t>
        </is>
      </c>
      <c r="I392" s="14" t="n"/>
      <c r="J392" s="15" t="n"/>
      <c r="K392" s="14">
        <f>IF(J392="","",J392-I392)</f>
        <v/>
      </c>
      <c r="L392" s="12">
        <f>IFERROR(VLOOKUP(D392,PRODUTOS!$A:$J,4,FALSE),"")</f>
        <v/>
      </c>
      <c r="M392" s="16" t="n"/>
      <c r="N392" s="11" t="n"/>
      <c r="O392" s="11" t="n"/>
      <c r="P392" s="13" t="n"/>
      <c r="Q392" s="11" t="n"/>
      <c r="R392" s="11" t="n"/>
      <c r="S392" s="11" t="n"/>
      <c r="T392" s="12">
        <f>IF(A392&lt;&gt;"SIM","NÃO MARCADA",IF(COUNTA(B392:H392,J392,M392:N392,P392:Q392)&lt;12,"PREENCHER OBRIGATÓRIOS",IF(OR(J392&lt;0,M392&lt;0),"VALOR INVÁLIDO","OK")))</f>
        <v/>
      </c>
    </row>
    <row r="393">
      <c r="A393" s="11" t="inlineStr">
        <is>
          <t>NÃO</t>
        </is>
      </c>
      <c r="B393" s="11" t="n"/>
      <c r="C393" s="11" t="n"/>
      <c r="D393" s="11" t="n"/>
      <c r="E393" s="12">
        <f>IFERROR(VLOOKUP(D393,PRODUTOS!$A:$J,2,FALSE),"")</f>
        <v/>
      </c>
      <c r="F393" s="11" t="n"/>
      <c r="G393" s="13" t="n"/>
      <c r="H393" s="11" t="inlineStr">
        <is>
          <t>DISPONÍVEL</t>
        </is>
      </c>
      <c r="I393" s="14" t="n"/>
      <c r="J393" s="15" t="n"/>
      <c r="K393" s="14">
        <f>IF(J393="","",J393-I393)</f>
        <v/>
      </c>
      <c r="L393" s="12">
        <f>IFERROR(VLOOKUP(D393,PRODUTOS!$A:$J,4,FALSE),"")</f>
        <v/>
      </c>
      <c r="M393" s="16" t="n"/>
      <c r="N393" s="11" t="n"/>
      <c r="O393" s="11" t="n"/>
      <c r="P393" s="13" t="n"/>
      <c r="Q393" s="11" t="n"/>
      <c r="R393" s="11" t="n"/>
      <c r="S393" s="11" t="n"/>
      <c r="T393" s="12">
        <f>IF(A393&lt;&gt;"SIM","NÃO MARCADA",IF(COUNTA(B393:H393,J393,M393:N393,P393:Q393)&lt;12,"PREENCHER OBRIGATÓRIOS",IF(OR(J393&lt;0,M393&lt;0),"VALOR INVÁLIDO","OK")))</f>
        <v/>
      </c>
    </row>
    <row r="394">
      <c r="A394" s="11" t="inlineStr">
        <is>
          <t>NÃO</t>
        </is>
      </c>
      <c r="B394" s="11" t="n"/>
      <c r="C394" s="11" t="n"/>
      <c r="D394" s="11" t="n"/>
      <c r="E394" s="12">
        <f>IFERROR(VLOOKUP(D394,PRODUTOS!$A:$J,2,FALSE),"")</f>
        <v/>
      </c>
      <c r="F394" s="11" t="n"/>
      <c r="G394" s="13" t="n"/>
      <c r="H394" s="11" t="inlineStr">
        <is>
          <t>DISPONÍVEL</t>
        </is>
      </c>
      <c r="I394" s="14" t="n"/>
      <c r="J394" s="15" t="n"/>
      <c r="K394" s="14">
        <f>IF(J394="","",J394-I394)</f>
        <v/>
      </c>
      <c r="L394" s="12">
        <f>IFERROR(VLOOKUP(D394,PRODUTOS!$A:$J,4,FALSE),"")</f>
        <v/>
      </c>
      <c r="M394" s="16" t="n"/>
      <c r="N394" s="11" t="n"/>
      <c r="O394" s="11" t="n"/>
      <c r="P394" s="13" t="n"/>
      <c r="Q394" s="11" t="n"/>
      <c r="R394" s="11" t="n"/>
      <c r="S394" s="11" t="n"/>
      <c r="T394" s="12">
        <f>IF(A394&lt;&gt;"SIM","NÃO MARCADA",IF(COUNTA(B394:H394,J394,M394:N394,P394:Q394)&lt;12,"PREENCHER OBRIGATÓRIOS",IF(OR(J394&lt;0,M394&lt;0),"VALOR INVÁLIDO","OK")))</f>
        <v/>
      </c>
    </row>
    <row r="395">
      <c r="A395" s="11" t="inlineStr">
        <is>
          <t>NÃO</t>
        </is>
      </c>
      <c r="B395" s="11" t="n"/>
      <c r="C395" s="11" t="n"/>
      <c r="D395" s="11" t="n"/>
      <c r="E395" s="12">
        <f>IFERROR(VLOOKUP(D395,PRODUTOS!$A:$J,2,FALSE),"")</f>
        <v/>
      </c>
      <c r="F395" s="11" t="n"/>
      <c r="G395" s="13" t="n"/>
      <c r="H395" s="11" t="inlineStr">
        <is>
          <t>DISPONÍVEL</t>
        </is>
      </c>
      <c r="I395" s="14" t="n"/>
      <c r="J395" s="15" t="n"/>
      <c r="K395" s="14">
        <f>IF(J395="","",J395-I395)</f>
        <v/>
      </c>
      <c r="L395" s="12">
        <f>IFERROR(VLOOKUP(D395,PRODUTOS!$A:$J,4,FALSE),"")</f>
        <v/>
      </c>
      <c r="M395" s="16" t="n"/>
      <c r="N395" s="11" t="n"/>
      <c r="O395" s="11" t="n"/>
      <c r="P395" s="13" t="n"/>
      <c r="Q395" s="11" t="n"/>
      <c r="R395" s="11" t="n"/>
      <c r="S395" s="11" t="n"/>
      <c r="T395" s="12">
        <f>IF(A395&lt;&gt;"SIM","NÃO MARCADA",IF(COUNTA(B395:H395,J395,M395:N395,P395:Q395)&lt;12,"PREENCHER OBRIGATÓRIOS",IF(OR(J395&lt;0,M395&lt;0),"VALOR INVÁLIDO","OK")))</f>
        <v/>
      </c>
    </row>
    <row r="396">
      <c r="A396" s="11" t="inlineStr">
        <is>
          <t>NÃO</t>
        </is>
      </c>
      <c r="B396" s="11" t="n"/>
      <c r="C396" s="11" t="n"/>
      <c r="D396" s="11" t="n"/>
      <c r="E396" s="12">
        <f>IFERROR(VLOOKUP(D396,PRODUTOS!$A:$J,2,FALSE),"")</f>
        <v/>
      </c>
      <c r="F396" s="11" t="n"/>
      <c r="G396" s="13" t="n"/>
      <c r="H396" s="11" t="inlineStr">
        <is>
          <t>DISPONÍVEL</t>
        </is>
      </c>
      <c r="I396" s="14" t="n"/>
      <c r="J396" s="15" t="n"/>
      <c r="K396" s="14">
        <f>IF(J396="","",J396-I396)</f>
        <v/>
      </c>
      <c r="L396" s="12">
        <f>IFERROR(VLOOKUP(D396,PRODUTOS!$A:$J,4,FALSE),"")</f>
        <v/>
      </c>
      <c r="M396" s="16" t="n"/>
      <c r="N396" s="11" t="n"/>
      <c r="O396" s="11" t="n"/>
      <c r="P396" s="13" t="n"/>
      <c r="Q396" s="11" t="n"/>
      <c r="R396" s="11" t="n"/>
      <c r="S396" s="11" t="n"/>
      <c r="T396" s="12">
        <f>IF(A396&lt;&gt;"SIM","NÃO MARCADA",IF(COUNTA(B396:H396,J396,M396:N396,P396:Q396)&lt;12,"PREENCHER OBRIGATÓRIOS",IF(OR(J396&lt;0,M396&lt;0),"VALOR INVÁLIDO","OK")))</f>
        <v/>
      </c>
    </row>
    <row r="397">
      <c r="A397" s="11" t="inlineStr">
        <is>
          <t>NÃO</t>
        </is>
      </c>
      <c r="B397" s="11" t="n"/>
      <c r="C397" s="11" t="n"/>
      <c r="D397" s="11" t="n"/>
      <c r="E397" s="12">
        <f>IFERROR(VLOOKUP(D397,PRODUTOS!$A:$J,2,FALSE),"")</f>
        <v/>
      </c>
      <c r="F397" s="11" t="n"/>
      <c r="G397" s="13" t="n"/>
      <c r="H397" s="11" t="inlineStr">
        <is>
          <t>DISPONÍVEL</t>
        </is>
      </c>
      <c r="I397" s="14" t="n"/>
      <c r="J397" s="15" t="n"/>
      <c r="K397" s="14">
        <f>IF(J397="","",J397-I397)</f>
        <v/>
      </c>
      <c r="L397" s="12">
        <f>IFERROR(VLOOKUP(D397,PRODUTOS!$A:$J,4,FALSE),"")</f>
        <v/>
      </c>
      <c r="M397" s="16" t="n"/>
      <c r="N397" s="11" t="n"/>
      <c r="O397" s="11" t="n"/>
      <c r="P397" s="13" t="n"/>
      <c r="Q397" s="11" t="n"/>
      <c r="R397" s="11" t="n"/>
      <c r="S397" s="11" t="n"/>
      <c r="T397" s="12">
        <f>IF(A397&lt;&gt;"SIM","NÃO MARCADA",IF(COUNTA(B397:H397,J397,M397:N397,P397:Q397)&lt;12,"PREENCHER OBRIGATÓRIOS",IF(OR(J397&lt;0,M397&lt;0),"VALOR INVÁLIDO","OK")))</f>
        <v/>
      </c>
    </row>
    <row r="398">
      <c r="A398" s="11" t="inlineStr">
        <is>
          <t>NÃO</t>
        </is>
      </c>
      <c r="B398" s="11" t="n"/>
      <c r="C398" s="11" t="n"/>
      <c r="D398" s="11" t="n"/>
      <c r="E398" s="12">
        <f>IFERROR(VLOOKUP(D398,PRODUTOS!$A:$J,2,FALSE),"")</f>
        <v/>
      </c>
      <c r="F398" s="11" t="n"/>
      <c r="G398" s="13" t="n"/>
      <c r="H398" s="11" t="inlineStr">
        <is>
          <t>DISPONÍVEL</t>
        </is>
      </c>
      <c r="I398" s="14" t="n"/>
      <c r="J398" s="15" t="n"/>
      <c r="K398" s="14">
        <f>IF(J398="","",J398-I398)</f>
        <v/>
      </c>
      <c r="L398" s="12">
        <f>IFERROR(VLOOKUP(D398,PRODUTOS!$A:$J,4,FALSE),"")</f>
        <v/>
      </c>
      <c r="M398" s="16" t="n"/>
      <c r="N398" s="11" t="n"/>
      <c r="O398" s="11" t="n"/>
      <c r="P398" s="13" t="n"/>
      <c r="Q398" s="11" t="n"/>
      <c r="R398" s="11" t="n"/>
      <c r="S398" s="11" t="n"/>
      <c r="T398" s="12">
        <f>IF(A398&lt;&gt;"SIM","NÃO MARCADA",IF(COUNTA(B398:H398,J398,M398:N398,P398:Q398)&lt;12,"PREENCHER OBRIGATÓRIOS",IF(OR(J398&lt;0,M398&lt;0),"VALOR INVÁLIDO","OK")))</f>
        <v/>
      </c>
    </row>
    <row r="399">
      <c r="A399" s="11" t="inlineStr">
        <is>
          <t>NÃO</t>
        </is>
      </c>
      <c r="B399" s="11" t="n"/>
      <c r="C399" s="11" t="n"/>
      <c r="D399" s="11" t="n"/>
      <c r="E399" s="12">
        <f>IFERROR(VLOOKUP(D399,PRODUTOS!$A:$J,2,FALSE),"")</f>
        <v/>
      </c>
      <c r="F399" s="11" t="n"/>
      <c r="G399" s="13" t="n"/>
      <c r="H399" s="11" t="inlineStr">
        <is>
          <t>DISPONÍVEL</t>
        </is>
      </c>
      <c r="I399" s="14" t="n"/>
      <c r="J399" s="15" t="n"/>
      <c r="K399" s="14">
        <f>IF(J399="","",J399-I399)</f>
        <v/>
      </c>
      <c r="L399" s="12">
        <f>IFERROR(VLOOKUP(D399,PRODUTOS!$A:$J,4,FALSE),"")</f>
        <v/>
      </c>
      <c r="M399" s="16" t="n"/>
      <c r="N399" s="11" t="n"/>
      <c r="O399" s="11" t="n"/>
      <c r="P399" s="13" t="n"/>
      <c r="Q399" s="11" t="n"/>
      <c r="R399" s="11" t="n"/>
      <c r="S399" s="11" t="n"/>
      <c r="T399" s="12">
        <f>IF(A399&lt;&gt;"SIM","NÃO MARCADA",IF(COUNTA(B399:H399,J399,M399:N399,P399:Q399)&lt;12,"PREENCHER OBRIGATÓRIOS",IF(OR(J399&lt;0,M399&lt;0),"VALOR INVÁLIDO","OK")))</f>
        <v/>
      </c>
    </row>
    <row r="400">
      <c r="A400" s="11" t="inlineStr">
        <is>
          <t>NÃO</t>
        </is>
      </c>
      <c r="B400" s="11" t="n"/>
      <c r="C400" s="11" t="n"/>
      <c r="D400" s="11" t="n"/>
      <c r="E400" s="12">
        <f>IFERROR(VLOOKUP(D400,PRODUTOS!$A:$J,2,FALSE),"")</f>
        <v/>
      </c>
      <c r="F400" s="11" t="n"/>
      <c r="G400" s="13" t="n"/>
      <c r="H400" s="11" t="inlineStr">
        <is>
          <t>DISPONÍVEL</t>
        </is>
      </c>
      <c r="I400" s="14" t="n"/>
      <c r="J400" s="15" t="n"/>
      <c r="K400" s="14">
        <f>IF(J400="","",J400-I400)</f>
        <v/>
      </c>
      <c r="L400" s="12">
        <f>IFERROR(VLOOKUP(D400,PRODUTOS!$A:$J,4,FALSE),"")</f>
        <v/>
      </c>
      <c r="M400" s="16" t="n"/>
      <c r="N400" s="11" t="n"/>
      <c r="O400" s="11" t="n"/>
      <c r="P400" s="13" t="n"/>
      <c r="Q400" s="11" t="n"/>
      <c r="R400" s="11" t="n"/>
      <c r="S400" s="11" t="n"/>
      <c r="T400" s="12">
        <f>IF(A400&lt;&gt;"SIM","NÃO MARCADA",IF(COUNTA(B400:H400,J400,M400:N400,P400:Q400)&lt;12,"PREENCHER OBRIGATÓRIOS",IF(OR(J400&lt;0,M400&lt;0),"VALOR INVÁLIDO","OK")))</f>
        <v/>
      </c>
    </row>
    <row r="401">
      <c r="A401" s="11" t="inlineStr">
        <is>
          <t>NÃO</t>
        </is>
      </c>
      <c r="B401" s="11" t="n"/>
      <c r="C401" s="11" t="n"/>
      <c r="D401" s="11" t="n"/>
      <c r="E401" s="12">
        <f>IFERROR(VLOOKUP(D401,PRODUTOS!$A:$J,2,FALSE),"")</f>
        <v/>
      </c>
      <c r="F401" s="11" t="n"/>
      <c r="G401" s="13" t="n"/>
      <c r="H401" s="11" t="inlineStr">
        <is>
          <t>DISPONÍVEL</t>
        </is>
      </c>
      <c r="I401" s="14" t="n"/>
      <c r="J401" s="15" t="n"/>
      <c r="K401" s="14">
        <f>IF(J401="","",J401-I401)</f>
        <v/>
      </c>
      <c r="L401" s="12">
        <f>IFERROR(VLOOKUP(D401,PRODUTOS!$A:$J,4,FALSE),"")</f>
        <v/>
      </c>
      <c r="M401" s="16" t="n"/>
      <c r="N401" s="11" t="n"/>
      <c r="O401" s="11" t="n"/>
      <c r="P401" s="13" t="n"/>
      <c r="Q401" s="11" t="n"/>
      <c r="R401" s="11" t="n"/>
      <c r="S401" s="11" t="n"/>
      <c r="T401" s="12">
        <f>IF(A401&lt;&gt;"SIM","NÃO MARCADA",IF(COUNTA(B401:H401,J401,M401:N401,P401:Q401)&lt;12,"PREENCHER OBRIGATÓRIOS",IF(OR(J401&lt;0,M401&lt;0),"VALOR INVÁLIDO","OK")))</f>
        <v/>
      </c>
    </row>
    <row r="402">
      <c r="A402" s="11" t="inlineStr">
        <is>
          <t>NÃO</t>
        </is>
      </c>
      <c r="B402" s="11" t="n"/>
      <c r="C402" s="11" t="n"/>
      <c r="D402" s="11" t="n"/>
      <c r="E402" s="12">
        <f>IFERROR(VLOOKUP(D402,PRODUTOS!$A:$J,2,FALSE),"")</f>
        <v/>
      </c>
      <c r="F402" s="11" t="n"/>
      <c r="G402" s="13" t="n"/>
      <c r="H402" s="11" t="inlineStr">
        <is>
          <t>DISPONÍVEL</t>
        </is>
      </c>
      <c r="I402" s="14" t="n"/>
      <c r="J402" s="15" t="n"/>
      <c r="K402" s="14">
        <f>IF(J402="","",J402-I402)</f>
        <v/>
      </c>
      <c r="L402" s="12">
        <f>IFERROR(VLOOKUP(D402,PRODUTOS!$A:$J,4,FALSE),"")</f>
        <v/>
      </c>
      <c r="M402" s="16" t="n"/>
      <c r="N402" s="11" t="n"/>
      <c r="O402" s="11" t="n"/>
      <c r="P402" s="13" t="n"/>
      <c r="Q402" s="11" t="n"/>
      <c r="R402" s="11" t="n"/>
      <c r="S402" s="11" t="n"/>
      <c r="T402" s="12">
        <f>IF(A402&lt;&gt;"SIM","NÃO MARCADA",IF(COUNTA(B402:H402,J402,M402:N402,P402:Q402)&lt;12,"PREENCHER OBRIGATÓRIOS",IF(OR(J402&lt;0,M402&lt;0),"VALOR INVÁLIDO","OK")))</f>
        <v/>
      </c>
    </row>
    <row r="403">
      <c r="A403" s="11" t="inlineStr">
        <is>
          <t>NÃO</t>
        </is>
      </c>
      <c r="B403" s="11" t="n"/>
      <c r="C403" s="11" t="n"/>
      <c r="D403" s="11" t="n"/>
      <c r="E403" s="12">
        <f>IFERROR(VLOOKUP(D403,PRODUTOS!$A:$J,2,FALSE),"")</f>
        <v/>
      </c>
      <c r="F403" s="11" t="n"/>
      <c r="G403" s="13" t="n"/>
      <c r="H403" s="11" t="inlineStr">
        <is>
          <t>DISPONÍVEL</t>
        </is>
      </c>
      <c r="I403" s="14" t="n"/>
      <c r="J403" s="15" t="n"/>
      <c r="K403" s="14">
        <f>IF(J403="","",J403-I403)</f>
        <v/>
      </c>
      <c r="L403" s="12">
        <f>IFERROR(VLOOKUP(D403,PRODUTOS!$A:$J,4,FALSE),"")</f>
        <v/>
      </c>
      <c r="M403" s="16" t="n"/>
      <c r="N403" s="11" t="n"/>
      <c r="O403" s="11" t="n"/>
      <c r="P403" s="13" t="n"/>
      <c r="Q403" s="11" t="n"/>
      <c r="R403" s="11" t="n"/>
      <c r="S403" s="11" t="n"/>
      <c r="T403" s="12">
        <f>IF(A403&lt;&gt;"SIM","NÃO MARCADA",IF(COUNTA(B403:H403,J403,M403:N403,P403:Q403)&lt;12,"PREENCHER OBRIGATÓRIOS",IF(OR(J403&lt;0,M403&lt;0),"VALOR INVÁLIDO","OK")))</f>
        <v/>
      </c>
    </row>
    <row r="404">
      <c r="A404" s="11" t="inlineStr">
        <is>
          <t>NÃO</t>
        </is>
      </c>
      <c r="B404" s="11" t="n"/>
      <c r="C404" s="11" t="n"/>
      <c r="D404" s="11" t="n"/>
      <c r="E404" s="12">
        <f>IFERROR(VLOOKUP(D404,PRODUTOS!$A:$J,2,FALSE),"")</f>
        <v/>
      </c>
      <c r="F404" s="11" t="n"/>
      <c r="G404" s="13" t="n"/>
      <c r="H404" s="11" t="inlineStr">
        <is>
          <t>DISPONÍVEL</t>
        </is>
      </c>
      <c r="I404" s="14" t="n"/>
      <c r="J404" s="15" t="n"/>
      <c r="K404" s="14">
        <f>IF(J404="","",J404-I404)</f>
        <v/>
      </c>
      <c r="L404" s="12">
        <f>IFERROR(VLOOKUP(D404,PRODUTOS!$A:$J,4,FALSE),"")</f>
        <v/>
      </c>
      <c r="M404" s="16" t="n"/>
      <c r="N404" s="11" t="n"/>
      <c r="O404" s="11" t="n"/>
      <c r="P404" s="13" t="n"/>
      <c r="Q404" s="11" t="n"/>
      <c r="R404" s="11" t="n"/>
      <c r="S404" s="11" t="n"/>
      <c r="T404" s="12">
        <f>IF(A404&lt;&gt;"SIM","NÃO MARCADA",IF(COUNTA(B404:H404,J404,M404:N404,P404:Q404)&lt;12,"PREENCHER OBRIGATÓRIOS",IF(OR(J404&lt;0,M404&lt;0),"VALOR INVÁLIDO","OK")))</f>
        <v/>
      </c>
    </row>
    <row r="405">
      <c r="A405" s="11" t="inlineStr">
        <is>
          <t>NÃO</t>
        </is>
      </c>
      <c r="B405" s="11" t="n"/>
      <c r="C405" s="11" t="n"/>
      <c r="D405" s="11" t="n"/>
      <c r="E405" s="12">
        <f>IFERROR(VLOOKUP(D405,PRODUTOS!$A:$J,2,FALSE),"")</f>
        <v/>
      </c>
      <c r="F405" s="11" t="n"/>
      <c r="G405" s="13" t="n"/>
      <c r="H405" s="11" t="inlineStr">
        <is>
          <t>DISPONÍVEL</t>
        </is>
      </c>
      <c r="I405" s="14" t="n"/>
      <c r="J405" s="15" t="n"/>
      <c r="K405" s="14">
        <f>IF(J405="","",J405-I405)</f>
        <v/>
      </c>
      <c r="L405" s="12">
        <f>IFERROR(VLOOKUP(D405,PRODUTOS!$A:$J,4,FALSE),"")</f>
        <v/>
      </c>
      <c r="M405" s="16" t="n"/>
      <c r="N405" s="11" t="n"/>
      <c r="O405" s="11" t="n"/>
      <c r="P405" s="13" t="n"/>
      <c r="Q405" s="11" t="n"/>
      <c r="R405" s="11" t="n"/>
      <c r="S405" s="11" t="n"/>
      <c r="T405" s="12">
        <f>IF(A405&lt;&gt;"SIM","NÃO MARCADA",IF(COUNTA(B405:H405,J405,M405:N405,P405:Q405)&lt;12,"PREENCHER OBRIGATÓRIOS",IF(OR(J405&lt;0,M405&lt;0),"VALOR INVÁLIDO","OK")))</f>
        <v/>
      </c>
    </row>
    <row r="406">
      <c r="A406" s="11" t="inlineStr">
        <is>
          <t>NÃO</t>
        </is>
      </c>
      <c r="B406" s="11" t="n"/>
      <c r="C406" s="11" t="n"/>
      <c r="D406" s="11" t="n"/>
      <c r="E406" s="12">
        <f>IFERROR(VLOOKUP(D406,PRODUTOS!$A:$J,2,FALSE),"")</f>
        <v/>
      </c>
      <c r="F406" s="11" t="n"/>
      <c r="G406" s="13" t="n"/>
      <c r="H406" s="11" t="inlineStr">
        <is>
          <t>DISPONÍVEL</t>
        </is>
      </c>
      <c r="I406" s="14" t="n"/>
      <c r="J406" s="15" t="n"/>
      <c r="K406" s="14">
        <f>IF(J406="","",J406-I406)</f>
        <v/>
      </c>
      <c r="L406" s="12">
        <f>IFERROR(VLOOKUP(D406,PRODUTOS!$A:$J,4,FALSE),"")</f>
        <v/>
      </c>
      <c r="M406" s="16" t="n"/>
      <c r="N406" s="11" t="n"/>
      <c r="O406" s="11" t="n"/>
      <c r="P406" s="13" t="n"/>
      <c r="Q406" s="11" t="n"/>
      <c r="R406" s="11" t="n"/>
      <c r="S406" s="11" t="n"/>
      <c r="T406" s="12">
        <f>IF(A406&lt;&gt;"SIM","NÃO MARCADA",IF(COUNTA(B406:H406,J406,M406:N406,P406:Q406)&lt;12,"PREENCHER OBRIGATÓRIOS",IF(OR(J406&lt;0,M406&lt;0),"VALOR INVÁLIDO","OK")))</f>
        <v/>
      </c>
    </row>
    <row r="407">
      <c r="A407" s="11" t="inlineStr">
        <is>
          <t>NÃO</t>
        </is>
      </c>
      <c r="B407" s="11" t="n"/>
      <c r="C407" s="11" t="n"/>
      <c r="D407" s="11" t="n"/>
      <c r="E407" s="12">
        <f>IFERROR(VLOOKUP(D407,PRODUTOS!$A:$J,2,FALSE),"")</f>
        <v/>
      </c>
      <c r="F407" s="11" t="n"/>
      <c r="G407" s="13" t="n"/>
      <c r="H407" s="11" t="inlineStr">
        <is>
          <t>DISPONÍVEL</t>
        </is>
      </c>
      <c r="I407" s="14" t="n"/>
      <c r="J407" s="15" t="n"/>
      <c r="K407" s="14">
        <f>IF(J407="","",J407-I407)</f>
        <v/>
      </c>
      <c r="L407" s="12">
        <f>IFERROR(VLOOKUP(D407,PRODUTOS!$A:$J,4,FALSE),"")</f>
        <v/>
      </c>
      <c r="M407" s="16" t="n"/>
      <c r="N407" s="11" t="n"/>
      <c r="O407" s="11" t="n"/>
      <c r="P407" s="13" t="n"/>
      <c r="Q407" s="11" t="n"/>
      <c r="R407" s="11" t="n"/>
      <c r="S407" s="11" t="n"/>
      <c r="T407" s="12">
        <f>IF(A407&lt;&gt;"SIM","NÃO MARCADA",IF(COUNTA(B407:H407,J407,M407:N407,P407:Q407)&lt;12,"PREENCHER OBRIGATÓRIOS",IF(OR(J407&lt;0,M407&lt;0),"VALOR INVÁLIDO","OK")))</f>
        <v/>
      </c>
    </row>
    <row r="408">
      <c r="A408" s="11" t="inlineStr">
        <is>
          <t>NÃO</t>
        </is>
      </c>
      <c r="B408" s="11" t="n"/>
      <c r="C408" s="11" t="n"/>
      <c r="D408" s="11" t="n"/>
      <c r="E408" s="12">
        <f>IFERROR(VLOOKUP(D408,PRODUTOS!$A:$J,2,FALSE),"")</f>
        <v/>
      </c>
      <c r="F408" s="11" t="n"/>
      <c r="G408" s="13" t="n"/>
      <c r="H408" s="11" t="inlineStr">
        <is>
          <t>DISPONÍVEL</t>
        </is>
      </c>
      <c r="I408" s="14" t="n"/>
      <c r="J408" s="15" t="n"/>
      <c r="K408" s="14">
        <f>IF(J408="","",J408-I408)</f>
        <v/>
      </c>
      <c r="L408" s="12">
        <f>IFERROR(VLOOKUP(D408,PRODUTOS!$A:$J,4,FALSE),"")</f>
        <v/>
      </c>
      <c r="M408" s="16" t="n"/>
      <c r="N408" s="11" t="n"/>
      <c r="O408" s="11" t="n"/>
      <c r="P408" s="13" t="n"/>
      <c r="Q408" s="11" t="n"/>
      <c r="R408" s="11" t="n"/>
      <c r="S408" s="11" t="n"/>
      <c r="T408" s="12">
        <f>IF(A408&lt;&gt;"SIM","NÃO MARCADA",IF(COUNTA(B408:H408,J408,M408:N408,P408:Q408)&lt;12,"PREENCHER OBRIGATÓRIOS",IF(OR(J408&lt;0,M408&lt;0),"VALOR INVÁLIDO","OK")))</f>
        <v/>
      </c>
    </row>
    <row r="409">
      <c r="A409" s="11" t="inlineStr">
        <is>
          <t>NÃO</t>
        </is>
      </c>
      <c r="B409" s="11" t="n"/>
      <c r="C409" s="11" t="n"/>
      <c r="D409" s="11" t="n"/>
      <c r="E409" s="12">
        <f>IFERROR(VLOOKUP(D409,PRODUTOS!$A:$J,2,FALSE),"")</f>
        <v/>
      </c>
      <c r="F409" s="11" t="n"/>
      <c r="G409" s="13" t="n"/>
      <c r="H409" s="11" t="inlineStr">
        <is>
          <t>DISPONÍVEL</t>
        </is>
      </c>
      <c r="I409" s="14" t="n"/>
      <c r="J409" s="15" t="n"/>
      <c r="K409" s="14">
        <f>IF(J409="","",J409-I409)</f>
        <v/>
      </c>
      <c r="L409" s="12">
        <f>IFERROR(VLOOKUP(D409,PRODUTOS!$A:$J,4,FALSE),"")</f>
        <v/>
      </c>
      <c r="M409" s="16" t="n"/>
      <c r="N409" s="11" t="n"/>
      <c r="O409" s="11" t="n"/>
      <c r="P409" s="13" t="n"/>
      <c r="Q409" s="11" t="n"/>
      <c r="R409" s="11" t="n"/>
      <c r="S409" s="11" t="n"/>
      <c r="T409" s="12">
        <f>IF(A409&lt;&gt;"SIM","NÃO MARCADA",IF(COUNTA(B409:H409,J409,M409:N409,P409:Q409)&lt;12,"PREENCHER OBRIGATÓRIOS",IF(OR(J409&lt;0,M409&lt;0),"VALOR INVÁLIDO","OK")))</f>
        <v/>
      </c>
    </row>
    <row r="410">
      <c r="A410" s="11" t="inlineStr">
        <is>
          <t>NÃO</t>
        </is>
      </c>
      <c r="B410" s="11" t="n"/>
      <c r="C410" s="11" t="n"/>
      <c r="D410" s="11" t="n"/>
      <c r="E410" s="12">
        <f>IFERROR(VLOOKUP(D410,PRODUTOS!$A:$J,2,FALSE),"")</f>
        <v/>
      </c>
      <c r="F410" s="11" t="n"/>
      <c r="G410" s="13" t="n"/>
      <c r="H410" s="11" t="inlineStr">
        <is>
          <t>DISPONÍVEL</t>
        </is>
      </c>
      <c r="I410" s="14" t="n"/>
      <c r="J410" s="15" t="n"/>
      <c r="K410" s="14">
        <f>IF(J410="","",J410-I410)</f>
        <v/>
      </c>
      <c r="L410" s="12">
        <f>IFERROR(VLOOKUP(D410,PRODUTOS!$A:$J,4,FALSE),"")</f>
        <v/>
      </c>
      <c r="M410" s="16" t="n"/>
      <c r="N410" s="11" t="n"/>
      <c r="O410" s="11" t="n"/>
      <c r="P410" s="13" t="n"/>
      <c r="Q410" s="11" t="n"/>
      <c r="R410" s="11" t="n"/>
      <c r="S410" s="11" t="n"/>
      <c r="T410" s="12">
        <f>IF(A410&lt;&gt;"SIM","NÃO MARCADA",IF(COUNTA(B410:H410,J410,M410:N410,P410:Q410)&lt;12,"PREENCHER OBRIGATÓRIOS",IF(OR(J410&lt;0,M410&lt;0),"VALOR INVÁLIDO","OK")))</f>
        <v/>
      </c>
    </row>
    <row r="411">
      <c r="A411" s="11" t="inlineStr">
        <is>
          <t>NÃO</t>
        </is>
      </c>
      <c r="B411" s="11" t="n"/>
      <c r="C411" s="11" t="n"/>
      <c r="D411" s="11" t="n"/>
      <c r="E411" s="12">
        <f>IFERROR(VLOOKUP(D411,PRODUTOS!$A:$J,2,FALSE),"")</f>
        <v/>
      </c>
      <c r="F411" s="11" t="n"/>
      <c r="G411" s="13" t="n"/>
      <c r="H411" s="11" t="inlineStr">
        <is>
          <t>DISPONÍVEL</t>
        </is>
      </c>
      <c r="I411" s="14" t="n"/>
      <c r="J411" s="15" t="n"/>
      <c r="K411" s="14">
        <f>IF(J411="","",J411-I411)</f>
        <v/>
      </c>
      <c r="L411" s="12">
        <f>IFERROR(VLOOKUP(D411,PRODUTOS!$A:$J,4,FALSE),"")</f>
        <v/>
      </c>
      <c r="M411" s="16" t="n"/>
      <c r="N411" s="11" t="n"/>
      <c r="O411" s="11" t="n"/>
      <c r="P411" s="13" t="n"/>
      <c r="Q411" s="11" t="n"/>
      <c r="R411" s="11" t="n"/>
      <c r="S411" s="11" t="n"/>
      <c r="T411" s="12">
        <f>IF(A411&lt;&gt;"SIM","NÃO MARCADA",IF(COUNTA(B411:H411,J411,M411:N411,P411:Q411)&lt;12,"PREENCHER OBRIGATÓRIOS",IF(OR(J411&lt;0,M411&lt;0),"VALOR INVÁLIDO","OK")))</f>
        <v/>
      </c>
    </row>
    <row r="412">
      <c r="A412" s="11" t="inlineStr">
        <is>
          <t>NÃO</t>
        </is>
      </c>
      <c r="B412" s="11" t="n"/>
      <c r="C412" s="11" t="n"/>
      <c r="D412" s="11" t="n"/>
      <c r="E412" s="12">
        <f>IFERROR(VLOOKUP(D412,PRODUTOS!$A:$J,2,FALSE),"")</f>
        <v/>
      </c>
      <c r="F412" s="11" t="n"/>
      <c r="G412" s="13" t="n"/>
      <c r="H412" s="11" t="inlineStr">
        <is>
          <t>DISPONÍVEL</t>
        </is>
      </c>
      <c r="I412" s="14" t="n"/>
      <c r="J412" s="15" t="n"/>
      <c r="K412" s="14">
        <f>IF(J412="","",J412-I412)</f>
        <v/>
      </c>
      <c r="L412" s="12">
        <f>IFERROR(VLOOKUP(D412,PRODUTOS!$A:$J,4,FALSE),"")</f>
        <v/>
      </c>
      <c r="M412" s="16" t="n"/>
      <c r="N412" s="11" t="n"/>
      <c r="O412" s="11" t="n"/>
      <c r="P412" s="13" t="n"/>
      <c r="Q412" s="11" t="n"/>
      <c r="R412" s="11" t="n"/>
      <c r="S412" s="11" t="n"/>
      <c r="T412" s="12">
        <f>IF(A412&lt;&gt;"SIM","NÃO MARCADA",IF(COUNTA(B412:H412,J412,M412:N412,P412:Q412)&lt;12,"PREENCHER OBRIGATÓRIOS",IF(OR(J412&lt;0,M412&lt;0),"VALOR INVÁLIDO","OK")))</f>
        <v/>
      </c>
    </row>
    <row r="413">
      <c r="A413" s="11" t="inlineStr">
        <is>
          <t>NÃO</t>
        </is>
      </c>
      <c r="B413" s="11" t="n"/>
      <c r="C413" s="11" t="n"/>
      <c r="D413" s="11" t="n"/>
      <c r="E413" s="12">
        <f>IFERROR(VLOOKUP(D413,PRODUTOS!$A:$J,2,FALSE),"")</f>
        <v/>
      </c>
      <c r="F413" s="11" t="n"/>
      <c r="G413" s="13" t="n"/>
      <c r="H413" s="11" t="inlineStr">
        <is>
          <t>DISPONÍVEL</t>
        </is>
      </c>
      <c r="I413" s="14" t="n"/>
      <c r="J413" s="15" t="n"/>
      <c r="K413" s="14">
        <f>IF(J413="","",J413-I413)</f>
        <v/>
      </c>
      <c r="L413" s="12">
        <f>IFERROR(VLOOKUP(D413,PRODUTOS!$A:$J,4,FALSE),"")</f>
        <v/>
      </c>
      <c r="M413" s="16" t="n"/>
      <c r="N413" s="11" t="n"/>
      <c r="O413" s="11" t="n"/>
      <c r="P413" s="13" t="n"/>
      <c r="Q413" s="11" t="n"/>
      <c r="R413" s="11" t="n"/>
      <c r="S413" s="11" t="n"/>
      <c r="T413" s="12">
        <f>IF(A413&lt;&gt;"SIM","NÃO MARCADA",IF(COUNTA(B413:H413,J413,M413:N413,P413:Q413)&lt;12,"PREENCHER OBRIGATÓRIOS",IF(OR(J413&lt;0,M413&lt;0),"VALOR INVÁLIDO","OK")))</f>
        <v/>
      </c>
    </row>
    <row r="414">
      <c r="A414" s="11" t="inlineStr">
        <is>
          <t>NÃO</t>
        </is>
      </c>
      <c r="B414" s="11" t="n"/>
      <c r="C414" s="11" t="n"/>
      <c r="D414" s="11" t="n"/>
      <c r="E414" s="12">
        <f>IFERROR(VLOOKUP(D414,PRODUTOS!$A:$J,2,FALSE),"")</f>
        <v/>
      </c>
      <c r="F414" s="11" t="n"/>
      <c r="G414" s="13" t="n"/>
      <c r="H414" s="11" t="inlineStr">
        <is>
          <t>DISPONÍVEL</t>
        </is>
      </c>
      <c r="I414" s="14" t="n"/>
      <c r="J414" s="15" t="n"/>
      <c r="K414" s="14">
        <f>IF(J414="","",J414-I414)</f>
        <v/>
      </c>
      <c r="L414" s="12">
        <f>IFERROR(VLOOKUP(D414,PRODUTOS!$A:$J,4,FALSE),"")</f>
        <v/>
      </c>
      <c r="M414" s="16" t="n"/>
      <c r="N414" s="11" t="n"/>
      <c r="O414" s="11" t="n"/>
      <c r="P414" s="13" t="n"/>
      <c r="Q414" s="11" t="n"/>
      <c r="R414" s="11" t="n"/>
      <c r="S414" s="11" t="n"/>
      <c r="T414" s="12">
        <f>IF(A414&lt;&gt;"SIM","NÃO MARCADA",IF(COUNTA(B414:H414,J414,M414:N414,P414:Q414)&lt;12,"PREENCHER OBRIGATÓRIOS",IF(OR(J414&lt;0,M414&lt;0),"VALOR INVÁLIDO","OK")))</f>
        <v/>
      </c>
    </row>
    <row r="415">
      <c r="A415" s="11" t="inlineStr">
        <is>
          <t>NÃO</t>
        </is>
      </c>
      <c r="B415" s="11" t="n"/>
      <c r="C415" s="11" t="n"/>
      <c r="D415" s="11" t="n"/>
      <c r="E415" s="12">
        <f>IFERROR(VLOOKUP(D415,PRODUTOS!$A:$J,2,FALSE),"")</f>
        <v/>
      </c>
      <c r="F415" s="11" t="n"/>
      <c r="G415" s="13" t="n"/>
      <c r="H415" s="11" t="inlineStr">
        <is>
          <t>DISPONÍVEL</t>
        </is>
      </c>
      <c r="I415" s="14" t="n"/>
      <c r="J415" s="15" t="n"/>
      <c r="K415" s="14">
        <f>IF(J415="","",J415-I415)</f>
        <v/>
      </c>
      <c r="L415" s="12">
        <f>IFERROR(VLOOKUP(D415,PRODUTOS!$A:$J,4,FALSE),"")</f>
        <v/>
      </c>
      <c r="M415" s="16" t="n"/>
      <c r="N415" s="11" t="n"/>
      <c r="O415" s="11" t="n"/>
      <c r="P415" s="13" t="n"/>
      <c r="Q415" s="11" t="n"/>
      <c r="R415" s="11" t="n"/>
      <c r="S415" s="11" t="n"/>
      <c r="T415" s="12">
        <f>IF(A415&lt;&gt;"SIM","NÃO MARCADA",IF(COUNTA(B415:H415,J415,M415:N415,P415:Q415)&lt;12,"PREENCHER OBRIGATÓRIOS",IF(OR(J415&lt;0,M415&lt;0),"VALOR INVÁLIDO","OK")))</f>
        <v/>
      </c>
    </row>
    <row r="416">
      <c r="A416" s="11" t="inlineStr">
        <is>
          <t>NÃO</t>
        </is>
      </c>
      <c r="B416" s="11" t="n"/>
      <c r="C416" s="11" t="n"/>
      <c r="D416" s="11" t="n"/>
      <c r="E416" s="12">
        <f>IFERROR(VLOOKUP(D416,PRODUTOS!$A:$J,2,FALSE),"")</f>
        <v/>
      </c>
      <c r="F416" s="11" t="n"/>
      <c r="G416" s="13" t="n"/>
      <c r="H416" s="11" t="inlineStr">
        <is>
          <t>DISPONÍVEL</t>
        </is>
      </c>
      <c r="I416" s="14" t="n"/>
      <c r="J416" s="15" t="n"/>
      <c r="K416" s="14">
        <f>IF(J416="","",J416-I416)</f>
        <v/>
      </c>
      <c r="L416" s="12">
        <f>IFERROR(VLOOKUP(D416,PRODUTOS!$A:$J,4,FALSE),"")</f>
        <v/>
      </c>
      <c r="M416" s="16" t="n"/>
      <c r="N416" s="11" t="n"/>
      <c r="O416" s="11" t="n"/>
      <c r="P416" s="13" t="n"/>
      <c r="Q416" s="11" t="n"/>
      <c r="R416" s="11" t="n"/>
      <c r="S416" s="11" t="n"/>
      <c r="T416" s="12">
        <f>IF(A416&lt;&gt;"SIM","NÃO MARCADA",IF(COUNTA(B416:H416,J416,M416:N416,P416:Q416)&lt;12,"PREENCHER OBRIGATÓRIOS",IF(OR(J416&lt;0,M416&lt;0),"VALOR INVÁLIDO","OK")))</f>
        <v/>
      </c>
    </row>
    <row r="417">
      <c r="A417" s="11" t="inlineStr">
        <is>
          <t>NÃO</t>
        </is>
      </c>
      <c r="B417" s="11" t="n"/>
      <c r="C417" s="11" t="n"/>
      <c r="D417" s="11" t="n"/>
      <c r="E417" s="12">
        <f>IFERROR(VLOOKUP(D417,PRODUTOS!$A:$J,2,FALSE),"")</f>
        <v/>
      </c>
      <c r="F417" s="11" t="n"/>
      <c r="G417" s="13" t="n"/>
      <c r="H417" s="11" t="inlineStr">
        <is>
          <t>DISPONÍVEL</t>
        </is>
      </c>
      <c r="I417" s="14" t="n"/>
      <c r="J417" s="15" t="n"/>
      <c r="K417" s="14">
        <f>IF(J417="","",J417-I417)</f>
        <v/>
      </c>
      <c r="L417" s="12">
        <f>IFERROR(VLOOKUP(D417,PRODUTOS!$A:$J,4,FALSE),"")</f>
        <v/>
      </c>
      <c r="M417" s="16" t="n"/>
      <c r="N417" s="11" t="n"/>
      <c r="O417" s="11" t="n"/>
      <c r="P417" s="13" t="n"/>
      <c r="Q417" s="11" t="n"/>
      <c r="R417" s="11" t="n"/>
      <c r="S417" s="11" t="n"/>
      <c r="T417" s="12">
        <f>IF(A417&lt;&gt;"SIM","NÃO MARCADA",IF(COUNTA(B417:H417,J417,M417:N417,P417:Q417)&lt;12,"PREENCHER OBRIGATÓRIOS",IF(OR(J417&lt;0,M417&lt;0),"VALOR INVÁLIDO","OK")))</f>
        <v/>
      </c>
    </row>
    <row r="418">
      <c r="A418" s="11" t="inlineStr">
        <is>
          <t>NÃO</t>
        </is>
      </c>
      <c r="B418" s="11" t="n"/>
      <c r="C418" s="11" t="n"/>
      <c r="D418" s="11" t="n"/>
      <c r="E418" s="12">
        <f>IFERROR(VLOOKUP(D418,PRODUTOS!$A:$J,2,FALSE),"")</f>
        <v/>
      </c>
      <c r="F418" s="11" t="n"/>
      <c r="G418" s="13" t="n"/>
      <c r="H418" s="11" t="inlineStr">
        <is>
          <t>DISPONÍVEL</t>
        </is>
      </c>
      <c r="I418" s="14" t="n"/>
      <c r="J418" s="15" t="n"/>
      <c r="K418" s="14">
        <f>IF(J418="","",J418-I418)</f>
        <v/>
      </c>
      <c r="L418" s="12">
        <f>IFERROR(VLOOKUP(D418,PRODUTOS!$A:$J,4,FALSE),"")</f>
        <v/>
      </c>
      <c r="M418" s="16" t="n"/>
      <c r="N418" s="11" t="n"/>
      <c r="O418" s="11" t="n"/>
      <c r="P418" s="13" t="n"/>
      <c r="Q418" s="11" t="n"/>
      <c r="R418" s="11" t="n"/>
      <c r="S418" s="11" t="n"/>
      <c r="T418" s="12">
        <f>IF(A418&lt;&gt;"SIM","NÃO MARCADA",IF(COUNTA(B418:H418,J418,M418:N418,P418:Q418)&lt;12,"PREENCHER OBRIGATÓRIOS",IF(OR(J418&lt;0,M418&lt;0),"VALOR INVÁLIDO","OK")))</f>
        <v/>
      </c>
    </row>
    <row r="419">
      <c r="A419" s="11" t="inlineStr">
        <is>
          <t>NÃO</t>
        </is>
      </c>
      <c r="B419" s="11" t="n"/>
      <c r="C419" s="11" t="n"/>
      <c r="D419" s="11" t="n"/>
      <c r="E419" s="12">
        <f>IFERROR(VLOOKUP(D419,PRODUTOS!$A:$J,2,FALSE),"")</f>
        <v/>
      </c>
      <c r="F419" s="11" t="n"/>
      <c r="G419" s="13" t="n"/>
      <c r="H419" s="11" t="inlineStr">
        <is>
          <t>DISPONÍVEL</t>
        </is>
      </c>
      <c r="I419" s="14" t="n"/>
      <c r="J419" s="15" t="n"/>
      <c r="K419" s="14">
        <f>IF(J419="","",J419-I419)</f>
        <v/>
      </c>
      <c r="L419" s="12">
        <f>IFERROR(VLOOKUP(D419,PRODUTOS!$A:$J,4,FALSE),"")</f>
        <v/>
      </c>
      <c r="M419" s="16" t="n"/>
      <c r="N419" s="11" t="n"/>
      <c r="O419" s="11" t="n"/>
      <c r="P419" s="13" t="n"/>
      <c r="Q419" s="11" t="n"/>
      <c r="R419" s="11" t="n"/>
      <c r="S419" s="11" t="n"/>
      <c r="T419" s="12">
        <f>IF(A419&lt;&gt;"SIM","NÃO MARCADA",IF(COUNTA(B419:H419,J419,M419:N419,P419:Q419)&lt;12,"PREENCHER OBRIGATÓRIOS",IF(OR(J419&lt;0,M419&lt;0),"VALOR INVÁLIDO","OK")))</f>
        <v/>
      </c>
    </row>
    <row r="420">
      <c r="A420" s="11" t="inlineStr">
        <is>
          <t>NÃO</t>
        </is>
      </c>
      <c r="B420" s="11" t="n"/>
      <c r="C420" s="11" t="n"/>
      <c r="D420" s="11" t="n"/>
      <c r="E420" s="12">
        <f>IFERROR(VLOOKUP(D420,PRODUTOS!$A:$J,2,FALSE),"")</f>
        <v/>
      </c>
      <c r="F420" s="11" t="n"/>
      <c r="G420" s="13" t="n"/>
      <c r="H420" s="11" t="inlineStr">
        <is>
          <t>DISPONÍVEL</t>
        </is>
      </c>
      <c r="I420" s="14" t="n"/>
      <c r="J420" s="15" t="n"/>
      <c r="K420" s="14">
        <f>IF(J420="","",J420-I420)</f>
        <v/>
      </c>
      <c r="L420" s="12">
        <f>IFERROR(VLOOKUP(D420,PRODUTOS!$A:$J,4,FALSE),"")</f>
        <v/>
      </c>
      <c r="M420" s="16" t="n"/>
      <c r="N420" s="11" t="n"/>
      <c r="O420" s="11" t="n"/>
      <c r="P420" s="13" t="n"/>
      <c r="Q420" s="11" t="n"/>
      <c r="R420" s="11" t="n"/>
      <c r="S420" s="11" t="n"/>
      <c r="T420" s="12">
        <f>IF(A420&lt;&gt;"SIM","NÃO MARCADA",IF(COUNTA(B420:H420,J420,M420:N420,P420:Q420)&lt;12,"PREENCHER OBRIGATÓRIOS",IF(OR(J420&lt;0,M420&lt;0),"VALOR INVÁLIDO","OK")))</f>
        <v/>
      </c>
    </row>
    <row r="421">
      <c r="A421" s="11" t="inlineStr">
        <is>
          <t>NÃO</t>
        </is>
      </c>
      <c r="B421" s="11" t="n"/>
      <c r="C421" s="11" t="n"/>
      <c r="D421" s="11" t="n"/>
      <c r="E421" s="12">
        <f>IFERROR(VLOOKUP(D421,PRODUTOS!$A:$J,2,FALSE),"")</f>
        <v/>
      </c>
      <c r="F421" s="11" t="n"/>
      <c r="G421" s="13" t="n"/>
      <c r="H421" s="11" t="inlineStr">
        <is>
          <t>DISPONÍVEL</t>
        </is>
      </c>
      <c r="I421" s="14" t="n"/>
      <c r="J421" s="15" t="n"/>
      <c r="K421" s="14">
        <f>IF(J421="","",J421-I421)</f>
        <v/>
      </c>
      <c r="L421" s="12">
        <f>IFERROR(VLOOKUP(D421,PRODUTOS!$A:$J,4,FALSE),"")</f>
        <v/>
      </c>
      <c r="M421" s="16" t="n"/>
      <c r="N421" s="11" t="n"/>
      <c r="O421" s="11" t="n"/>
      <c r="P421" s="13" t="n"/>
      <c r="Q421" s="11" t="n"/>
      <c r="R421" s="11" t="n"/>
      <c r="S421" s="11" t="n"/>
      <c r="T421" s="12">
        <f>IF(A421&lt;&gt;"SIM","NÃO MARCADA",IF(COUNTA(B421:H421,J421,M421:N421,P421:Q421)&lt;12,"PREENCHER OBRIGATÓRIOS",IF(OR(J421&lt;0,M421&lt;0),"VALOR INVÁLIDO","OK")))</f>
        <v/>
      </c>
    </row>
    <row r="422">
      <c r="A422" s="11" t="inlineStr">
        <is>
          <t>NÃO</t>
        </is>
      </c>
      <c r="B422" s="11" t="n"/>
      <c r="C422" s="11" t="n"/>
      <c r="D422" s="11" t="n"/>
      <c r="E422" s="12">
        <f>IFERROR(VLOOKUP(D422,PRODUTOS!$A:$J,2,FALSE),"")</f>
        <v/>
      </c>
      <c r="F422" s="11" t="n"/>
      <c r="G422" s="13" t="n"/>
      <c r="H422" s="11" t="inlineStr">
        <is>
          <t>DISPONÍVEL</t>
        </is>
      </c>
      <c r="I422" s="14" t="n"/>
      <c r="J422" s="15" t="n"/>
      <c r="K422" s="14">
        <f>IF(J422="","",J422-I422)</f>
        <v/>
      </c>
      <c r="L422" s="12">
        <f>IFERROR(VLOOKUP(D422,PRODUTOS!$A:$J,4,FALSE),"")</f>
        <v/>
      </c>
      <c r="M422" s="16" t="n"/>
      <c r="N422" s="11" t="n"/>
      <c r="O422" s="11" t="n"/>
      <c r="P422" s="13" t="n"/>
      <c r="Q422" s="11" t="n"/>
      <c r="R422" s="11" t="n"/>
      <c r="S422" s="11" t="n"/>
      <c r="T422" s="12">
        <f>IF(A422&lt;&gt;"SIM","NÃO MARCADA",IF(COUNTA(B422:H422,J422,M422:N422,P422:Q422)&lt;12,"PREENCHER OBRIGATÓRIOS",IF(OR(J422&lt;0,M422&lt;0),"VALOR INVÁLIDO","OK")))</f>
        <v/>
      </c>
    </row>
    <row r="423">
      <c r="A423" s="11" t="inlineStr">
        <is>
          <t>NÃO</t>
        </is>
      </c>
      <c r="B423" s="11" t="n"/>
      <c r="C423" s="11" t="n"/>
      <c r="D423" s="11" t="n"/>
      <c r="E423" s="12">
        <f>IFERROR(VLOOKUP(D423,PRODUTOS!$A:$J,2,FALSE),"")</f>
        <v/>
      </c>
      <c r="F423" s="11" t="n"/>
      <c r="G423" s="13" t="n"/>
      <c r="H423" s="11" t="inlineStr">
        <is>
          <t>DISPONÍVEL</t>
        </is>
      </c>
      <c r="I423" s="14" t="n"/>
      <c r="J423" s="15" t="n"/>
      <c r="K423" s="14">
        <f>IF(J423="","",J423-I423)</f>
        <v/>
      </c>
      <c r="L423" s="12">
        <f>IFERROR(VLOOKUP(D423,PRODUTOS!$A:$J,4,FALSE),"")</f>
        <v/>
      </c>
      <c r="M423" s="16" t="n"/>
      <c r="N423" s="11" t="n"/>
      <c r="O423" s="11" t="n"/>
      <c r="P423" s="13" t="n"/>
      <c r="Q423" s="11" t="n"/>
      <c r="R423" s="11" t="n"/>
      <c r="S423" s="11" t="n"/>
      <c r="T423" s="12">
        <f>IF(A423&lt;&gt;"SIM","NÃO MARCADA",IF(COUNTA(B423:H423,J423,M423:N423,P423:Q423)&lt;12,"PREENCHER OBRIGATÓRIOS",IF(OR(J423&lt;0,M423&lt;0),"VALOR INVÁLIDO","OK")))</f>
        <v/>
      </c>
    </row>
    <row r="424">
      <c r="A424" s="11" t="inlineStr">
        <is>
          <t>NÃO</t>
        </is>
      </c>
      <c r="B424" s="11" t="n"/>
      <c r="C424" s="11" t="n"/>
      <c r="D424" s="11" t="n"/>
      <c r="E424" s="12">
        <f>IFERROR(VLOOKUP(D424,PRODUTOS!$A:$J,2,FALSE),"")</f>
        <v/>
      </c>
      <c r="F424" s="11" t="n"/>
      <c r="G424" s="13" t="n"/>
      <c r="H424" s="11" t="inlineStr">
        <is>
          <t>DISPONÍVEL</t>
        </is>
      </c>
      <c r="I424" s="14" t="n"/>
      <c r="J424" s="15" t="n"/>
      <c r="K424" s="14">
        <f>IF(J424="","",J424-I424)</f>
        <v/>
      </c>
      <c r="L424" s="12">
        <f>IFERROR(VLOOKUP(D424,PRODUTOS!$A:$J,4,FALSE),"")</f>
        <v/>
      </c>
      <c r="M424" s="16" t="n"/>
      <c r="N424" s="11" t="n"/>
      <c r="O424" s="11" t="n"/>
      <c r="P424" s="13" t="n"/>
      <c r="Q424" s="11" t="n"/>
      <c r="R424" s="11" t="n"/>
      <c r="S424" s="11" t="n"/>
      <c r="T424" s="12">
        <f>IF(A424&lt;&gt;"SIM","NÃO MARCADA",IF(COUNTA(B424:H424,J424,M424:N424,P424:Q424)&lt;12,"PREENCHER OBRIGATÓRIOS",IF(OR(J424&lt;0,M424&lt;0),"VALOR INVÁLIDO","OK")))</f>
        <v/>
      </c>
    </row>
    <row r="425">
      <c r="A425" s="11" t="inlineStr">
        <is>
          <t>NÃO</t>
        </is>
      </c>
      <c r="B425" s="11" t="n"/>
      <c r="C425" s="11" t="n"/>
      <c r="D425" s="11" t="n"/>
      <c r="E425" s="12">
        <f>IFERROR(VLOOKUP(D425,PRODUTOS!$A:$J,2,FALSE),"")</f>
        <v/>
      </c>
      <c r="F425" s="11" t="n"/>
      <c r="G425" s="13" t="n"/>
      <c r="H425" s="11" t="inlineStr">
        <is>
          <t>DISPONÍVEL</t>
        </is>
      </c>
      <c r="I425" s="14" t="n"/>
      <c r="J425" s="15" t="n"/>
      <c r="K425" s="14">
        <f>IF(J425="","",J425-I425)</f>
        <v/>
      </c>
      <c r="L425" s="12">
        <f>IFERROR(VLOOKUP(D425,PRODUTOS!$A:$J,4,FALSE),"")</f>
        <v/>
      </c>
      <c r="M425" s="16" t="n"/>
      <c r="N425" s="11" t="n"/>
      <c r="O425" s="11" t="n"/>
      <c r="P425" s="13" t="n"/>
      <c r="Q425" s="11" t="n"/>
      <c r="R425" s="11" t="n"/>
      <c r="S425" s="11" t="n"/>
      <c r="T425" s="12">
        <f>IF(A425&lt;&gt;"SIM","NÃO MARCADA",IF(COUNTA(B425:H425,J425,M425:N425,P425:Q425)&lt;12,"PREENCHER OBRIGATÓRIOS",IF(OR(J425&lt;0,M425&lt;0),"VALOR INVÁLIDO","OK")))</f>
        <v/>
      </c>
    </row>
    <row r="426">
      <c r="A426" s="11" t="inlineStr">
        <is>
          <t>NÃO</t>
        </is>
      </c>
      <c r="B426" s="11" t="n"/>
      <c r="C426" s="11" t="n"/>
      <c r="D426" s="11" t="n"/>
      <c r="E426" s="12">
        <f>IFERROR(VLOOKUP(D426,PRODUTOS!$A:$J,2,FALSE),"")</f>
        <v/>
      </c>
      <c r="F426" s="11" t="n"/>
      <c r="G426" s="13" t="n"/>
      <c r="H426" s="11" t="inlineStr">
        <is>
          <t>DISPONÍVEL</t>
        </is>
      </c>
      <c r="I426" s="14" t="n"/>
      <c r="J426" s="15" t="n"/>
      <c r="K426" s="14">
        <f>IF(J426="","",J426-I426)</f>
        <v/>
      </c>
      <c r="L426" s="12">
        <f>IFERROR(VLOOKUP(D426,PRODUTOS!$A:$J,4,FALSE),"")</f>
        <v/>
      </c>
      <c r="M426" s="16" t="n"/>
      <c r="N426" s="11" t="n"/>
      <c r="O426" s="11" t="n"/>
      <c r="P426" s="13" t="n"/>
      <c r="Q426" s="11" t="n"/>
      <c r="R426" s="11" t="n"/>
      <c r="S426" s="11" t="n"/>
      <c r="T426" s="12">
        <f>IF(A426&lt;&gt;"SIM","NÃO MARCADA",IF(COUNTA(B426:H426,J426,M426:N426,P426:Q426)&lt;12,"PREENCHER OBRIGATÓRIOS",IF(OR(J426&lt;0,M426&lt;0),"VALOR INVÁLIDO","OK")))</f>
        <v/>
      </c>
    </row>
    <row r="427">
      <c r="A427" s="11" t="inlineStr">
        <is>
          <t>NÃO</t>
        </is>
      </c>
      <c r="B427" s="11" t="n"/>
      <c r="C427" s="11" t="n"/>
      <c r="D427" s="11" t="n"/>
      <c r="E427" s="12">
        <f>IFERROR(VLOOKUP(D427,PRODUTOS!$A:$J,2,FALSE),"")</f>
        <v/>
      </c>
      <c r="F427" s="11" t="n"/>
      <c r="G427" s="13" t="n"/>
      <c r="H427" s="11" t="inlineStr">
        <is>
          <t>DISPONÍVEL</t>
        </is>
      </c>
      <c r="I427" s="14" t="n"/>
      <c r="J427" s="15" t="n"/>
      <c r="K427" s="14">
        <f>IF(J427="","",J427-I427)</f>
        <v/>
      </c>
      <c r="L427" s="12">
        <f>IFERROR(VLOOKUP(D427,PRODUTOS!$A:$J,4,FALSE),"")</f>
        <v/>
      </c>
      <c r="M427" s="16" t="n"/>
      <c r="N427" s="11" t="n"/>
      <c r="O427" s="11" t="n"/>
      <c r="P427" s="13" t="n"/>
      <c r="Q427" s="11" t="n"/>
      <c r="R427" s="11" t="n"/>
      <c r="S427" s="11" t="n"/>
      <c r="T427" s="12">
        <f>IF(A427&lt;&gt;"SIM","NÃO MARCADA",IF(COUNTA(B427:H427,J427,M427:N427,P427:Q427)&lt;12,"PREENCHER OBRIGATÓRIOS",IF(OR(J427&lt;0,M427&lt;0),"VALOR INVÁLIDO","OK")))</f>
        <v/>
      </c>
    </row>
    <row r="428">
      <c r="A428" s="11" t="inlineStr">
        <is>
          <t>NÃO</t>
        </is>
      </c>
      <c r="B428" s="11" t="n"/>
      <c r="C428" s="11" t="n"/>
      <c r="D428" s="11" t="n"/>
      <c r="E428" s="12">
        <f>IFERROR(VLOOKUP(D428,PRODUTOS!$A:$J,2,FALSE),"")</f>
        <v/>
      </c>
      <c r="F428" s="11" t="n"/>
      <c r="G428" s="13" t="n"/>
      <c r="H428" s="11" t="inlineStr">
        <is>
          <t>DISPONÍVEL</t>
        </is>
      </c>
      <c r="I428" s="14" t="n"/>
      <c r="J428" s="15" t="n"/>
      <c r="K428" s="14">
        <f>IF(J428="","",J428-I428)</f>
        <v/>
      </c>
      <c r="L428" s="12">
        <f>IFERROR(VLOOKUP(D428,PRODUTOS!$A:$J,4,FALSE),"")</f>
        <v/>
      </c>
      <c r="M428" s="16" t="n"/>
      <c r="N428" s="11" t="n"/>
      <c r="O428" s="11" t="n"/>
      <c r="P428" s="13" t="n"/>
      <c r="Q428" s="11" t="n"/>
      <c r="R428" s="11" t="n"/>
      <c r="S428" s="11" t="n"/>
      <c r="T428" s="12">
        <f>IF(A428&lt;&gt;"SIM","NÃO MARCADA",IF(COUNTA(B428:H428,J428,M428:N428,P428:Q428)&lt;12,"PREENCHER OBRIGATÓRIOS",IF(OR(J428&lt;0,M428&lt;0),"VALOR INVÁLIDO","OK")))</f>
        <v/>
      </c>
    </row>
    <row r="429">
      <c r="A429" s="11" t="inlineStr">
        <is>
          <t>NÃO</t>
        </is>
      </c>
      <c r="B429" s="11" t="n"/>
      <c r="C429" s="11" t="n"/>
      <c r="D429" s="11" t="n"/>
      <c r="E429" s="12">
        <f>IFERROR(VLOOKUP(D429,PRODUTOS!$A:$J,2,FALSE),"")</f>
        <v/>
      </c>
      <c r="F429" s="11" t="n"/>
      <c r="G429" s="13" t="n"/>
      <c r="H429" s="11" t="inlineStr">
        <is>
          <t>DISPONÍVEL</t>
        </is>
      </c>
      <c r="I429" s="14" t="n"/>
      <c r="J429" s="15" t="n"/>
      <c r="K429" s="14">
        <f>IF(J429="","",J429-I429)</f>
        <v/>
      </c>
      <c r="L429" s="12">
        <f>IFERROR(VLOOKUP(D429,PRODUTOS!$A:$J,4,FALSE),"")</f>
        <v/>
      </c>
      <c r="M429" s="16" t="n"/>
      <c r="N429" s="11" t="n"/>
      <c r="O429" s="11" t="n"/>
      <c r="P429" s="13" t="n"/>
      <c r="Q429" s="11" t="n"/>
      <c r="R429" s="11" t="n"/>
      <c r="S429" s="11" t="n"/>
      <c r="T429" s="12">
        <f>IF(A429&lt;&gt;"SIM","NÃO MARCADA",IF(COUNTA(B429:H429,J429,M429:N429,P429:Q429)&lt;12,"PREENCHER OBRIGATÓRIOS",IF(OR(J429&lt;0,M429&lt;0),"VALOR INVÁLIDO","OK")))</f>
        <v/>
      </c>
    </row>
    <row r="430">
      <c r="A430" s="11" t="inlineStr">
        <is>
          <t>NÃO</t>
        </is>
      </c>
      <c r="B430" s="11" t="n"/>
      <c r="C430" s="11" t="n"/>
      <c r="D430" s="11" t="n"/>
      <c r="E430" s="12">
        <f>IFERROR(VLOOKUP(D430,PRODUTOS!$A:$J,2,FALSE),"")</f>
        <v/>
      </c>
      <c r="F430" s="11" t="n"/>
      <c r="G430" s="13" t="n"/>
      <c r="H430" s="11" t="inlineStr">
        <is>
          <t>DISPONÍVEL</t>
        </is>
      </c>
      <c r="I430" s="14" t="n"/>
      <c r="J430" s="15" t="n"/>
      <c r="K430" s="14">
        <f>IF(J430="","",J430-I430)</f>
        <v/>
      </c>
      <c r="L430" s="12">
        <f>IFERROR(VLOOKUP(D430,PRODUTOS!$A:$J,4,FALSE),"")</f>
        <v/>
      </c>
      <c r="M430" s="16" t="n"/>
      <c r="N430" s="11" t="n"/>
      <c r="O430" s="11" t="n"/>
      <c r="P430" s="13" t="n"/>
      <c r="Q430" s="11" t="n"/>
      <c r="R430" s="11" t="n"/>
      <c r="S430" s="11" t="n"/>
      <c r="T430" s="12">
        <f>IF(A430&lt;&gt;"SIM","NÃO MARCADA",IF(COUNTA(B430:H430,J430,M430:N430,P430:Q430)&lt;12,"PREENCHER OBRIGATÓRIOS",IF(OR(J430&lt;0,M430&lt;0),"VALOR INVÁLIDO","OK")))</f>
        <v/>
      </c>
    </row>
    <row r="431">
      <c r="A431" s="11" t="inlineStr">
        <is>
          <t>NÃO</t>
        </is>
      </c>
      <c r="B431" s="11" t="n"/>
      <c r="C431" s="11" t="n"/>
      <c r="D431" s="11" t="n"/>
      <c r="E431" s="12">
        <f>IFERROR(VLOOKUP(D431,PRODUTOS!$A:$J,2,FALSE),"")</f>
        <v/>
      </c>
      <c r="F431" s="11" t="n"/>
      <c r="G431" s="13" t="n"/>
      <c r="H431" s="11" t="inlineStr">
        <is>
          <t>DISPONÍVEL</t>
        </is>
      </c>
      <c r="I431" s="14" t="n"/>
      <c r="J431" s="15" t="n"/>
      <c r="K431" s="14">
        <f>IF(J431="","",J431-I431)</f>
        <v/>
      </c>
      <c r="L431" s="12">
        <f>IFERROR(VLOOKUP(D431,PRODUTOS!$A:$J,4,FALSE),"")</f>
        <v/>
      </c>
      <c r="M431" s="16" t="n"/>
      <c r="N431" s="11" t="n"/>
      <c r="O431" s="11" t="n"/>
      <c r="P431" s="13" t="n"/>
      <c r="Q431" s="11" t="n"/>
      <c r="R431" s="11" t="n"/>
      <c r="S431" s="11" t="n"/>
      <c r="T431" s="12">
        <f>IF(A431&lt;&gt;"SIM","NÃO MARCADA",IF(COUNTA(B431:H431,J431,M431:N431,P431:Q431)&lt;12,"PREENCHER OBRIGATÓRIOS",IF(OR(J431&lt;0,M431&lt;0),"VALOR INVÁLIDO","OK")))</f>
        <v/>
      </c>
    </row>
    <row r="432">
      <c r="A432" s="11" t="inlineStr">
        <is>
          <t>NÃO</t>
        </is>
      </c>
      <c r="B432" s="11" t="n"/>
      <c r="C432" s="11" t="n"/>
      <c r="D432" s="11" t="n"/>
      <c r="E432" s="12">
        <f>IFERROR(VLOOKUP(D432,PRODUTOS!$A:$J,2,FALSE),"")</f>
        <v/>
      </c>
      <c r="F432" s="11" t="n"/>
      <c r="G432" s="13" t="n"/>
      <c r="H432" s="11" t="inlineStr">
        <is>
          <t>DISPONÍVEL</t>
        </is>
      </c>
      <c r="I432" s="14" t="n"/>
      <c r="J432" s="15" t="n"/>
      <c r="K432" s="14">
        <f>IF(J432="","",J432-I432)</f>
        <v/>
      </c>
      <c r="L432" s="12">
        <f>IFERROR(VLOOKUP(D432,PRODUTOS!$A:$J,4,FALSE),"")</f>
        <v/>
      </c>
      <c r="M432" s="16" t="n"/>
      <c r="N432" s="11" t="n"/>
      <c r="O432" s="11" t="n"/>
      <c r="P432" s="13" t="n"/>
      <c r="Q432" s="11" t="n"/>
      <c r="R432" s="11" t="n"/>
      <c r="S432" s="11" t="n"/>
      <c r="T432" s="12">
        <f>IF(A432&lt;&gt;"SIM","NÃO MARCADA",IF(COUNTA(B432:H432,J432,M432:N432,P432:Q432)&lt;12,"PREENCHER OBRIGATÓRIOS",IF(OR(J432&lt;0,M432&lt;0),"VALOR INVÁLIDO","OK")))</f>
        <v/>
      </c>
    </row>
    <row r="433">
      <c r="A433" s="11" t="inlineStr">
        <is>
          <t>NÃO</t>
        </is>
      </c>
      <c r="B433" s="11" t="n"/>
      <c r="C433" s="11" t="n"/>
      <c r="D433" s="11" t="n"/>
      <c r="E433" s="12">
        <f>IFERROR(VLOOKUP(D433,PRODUTOS!$A:$J,2,FALSE),"")</f>
        <v/>
      </c>
      <c r="F433" s="11" t="n"/>
      <c r="G433" s="13" t="n"/>
      <c r="H433" s="11" t="inlineStr">
        <is>
          <t>DISPONÍVEL</t>
        </is>
      </c>
      <c r="I433" s="14" t="n"/>
      <c r="J433" s="15" t="n"/>
      <c r="K433" s="14">
        <f>IF(J433="","",J433-I433)</f>
        <v/>
      </c>
      <c r="L433" s="12">
        <f>IFERROR(VLOOKUP(D433,PRODUTOS!$A:$J,4,FALSE),"")</f>
        <v/>
      </c>
      <c r="M433" s="16" t="n"/>
      <c r="N433" s="11" t="n"/>
      <c r="O433" s="11" t="n"/>
      <c r="P433" s="13" t="n"/>
      <c r="Q433" s="11" t="n"/>
      <c r="R433" s="11" t="n"/>
      <c r="S433" s="11" t="n"/>
      <c r="T433" s="12">
        <f>IF(A433&lt;&gt;"SIM","NÃO MARCADA",IF(COUNTA(B433:H433,J433,M433:N433,P433:Q433)&lt;12,"PREENCHER OBRIGATÓRIOS",IF(OR(J433&lt;0,M433&lt;0),"VALOR INVÁLIDO","OK")))</f>
        <v/>
      </c>
    </row>
    <row r="434">
      <c r="A434" s="11" t="inlineStr">
        <is>
          <t>NÃO</t>
        </is>
      </c>
      <c r="B434" s="11" t="n"/>
      <c r="C434" s="11" t="n"/>
      <c r="D434" s="11" t="n"/>
      <c r="E434" s="12">
        <f>IFERROR(VLOOKUP(D434,PRODUTOS!$A:$J,2,FALSE),"")</f>
        <v/>
      </c>
      <c r="F434" s="11" t="n"/>
      <c r="G434" s="13" t="n"/>
      <c r="H434" s="11" t="inlineStr">
        <is>
          <t>DISPONÍVEL</t>
        </is>
      </c>
      <c r="I434" s="14" t="n"/>
      <c r="J434" s="15" t="n"/>
      <c r="K434" s="14">
        <f>IF(J434="","",J434-I434)</f>
        <v/>
      </c>
      <c r="L434" s="12">
        <f>IFERROR(VLOOKUP(D434,PRODUTOS!$A:$J,4,FALSE),"")</f>
        <v/>
      </c>
      <c r="M434" s="16" t="n"/>
      <c r="N434" s="11" t="n"/>
      <c r="O434" s="11" t="n"/>
      <c r="P434" s="13" t="n"/>
      <c r="Q434" s="11" t="n"/>
      <c r="R434" s="11" t="n"/>
      <c r="S434" s="11" t="n"/>
      <c r="T434" s="12">
        <f>IF(A434&lt;&gt;"SIM","NÃO MARCADA",IF(COUNTA(B434:H434,J434,M434:N434,P434:Q434)&lt;12,"PREENCHER OBRIGATÓRIOS",IF(OR(J434&lt;0,M434&lt;0),"VALOR INVÁLIDO","OK")))</f>
        <v/>
      </c>
    </row>
    <row r="435">
      <c r="A435" s="11" t="inlineStr">
        <is>
          <t>NÃO</t>
        </is>
      </c>
      <c r="B435" s="11" t="n"/>
      <c r="C435" s="11" t="n"/>
      <c r="D435" s="11" t="n"/>
      <c r="E435" s="12">
        <f>IFERROR(VLOOKUP(D435,PRODUTOS!$A:$J,2,FALSE),"")</f>
        <v/>
      </c>
      <c r="F435" s="11" t="n"/>
      <c r="G435" s="13" t="n"/>
      <c r="H435" s="11" t="inlineStr">
        <is>
          <t>DISPONÍVEL</t>
        </is>
      </c>
      <c r="I435" s="14" t="n"/>
      <c r="J435" s="15" t="n"/>
      <c r="K435" s="14">
        <f>IF(J435="","",J435-I435)</f>
        <v/>
      </c>
      <c r="L435" s="12">
        <f>IFERROR(VLOOKUP(D435,PRODUTOS!$A:$J,4,FALSE),"")</f>
        <v/>
      </c>
      <c r="M435" s="16" t="n"/>
      <c r="N435" s="11" t="n"/>
      <c r="O435" s="11" t="n"/>
      <c r="P435" s="13" t="n"/>
      <c r="Q435" s="11" t="n"/>
      <c r="R435" s="11" t="n"/>
      <c r="S435" s="11" t="n"/>
      <c r="T435" s="12">
        <f>IF(A435&lt;&gt;"SIM","NÃO MARCADA",IF(COUNTA(B435:H435,J435,M435:N435,P435:Q435)&lt;12,"PREENCHER OBRIGATÓRIOS",IF(OR(J435&lt;0,M435&lt;0),"VALOR INVÁLIDO","OK")))</f>
        <v/>
      </c>
    </row>
    <row r="436">
      <c r="A436" s="11" t="inlineStr">
        <is>
          <t>NÃO</t>
        </is>
      </c>
      <c r="B436" s="11" t="n"/>
      <c r="C436" s="11" t="n"/>
      <c r="D436" s="11" t="n"/>
      <c r="E436" s="12">
        <f>IFERROR(VLOOKUP(D436,PRODUTOS!$A:$J,2,FALSE),"")</f>
        <v/>
      </c>
      <c r="F436" s="11" t="n"/>
      <c r="G436" s="13" t="n"/>
      <c r="H436" s="11" t="inlineStr">
        <is>
          <t>DISPONÍVEL</t>
        </is>
      </c>
      <c r="I436" s="14" t="n"/>
      <c r="J436" s="15" t="n"/>
      <c r="K436" s="14">
        <f>IF(J436="","",J436-I436)</f>
        <v/>
      </c>
      <c r="L436" s="12">
        <f>IFERROR(VLOOKUP(D436,PRODUTOS!$A:$J,4,FALSE),"")</f>
        <v/>
      </c>
      <c r="M436" s="16" t="n"/>
      <c r="N436" s="11" t="n"/>
      <c r="O436" s="11" t="n"/>
      <c r="P436" s="13" t="n"/>
      <c r="Q436" s="11" t="n"/>
      <c r="R436" s="11" t="n"/>
      <c r="S436" s="11" t="n"/>
      <c r="T436" s="12">
        <f>IF(A436&lt;&gt;"SIM","NÃO MARCADA",IF(COUNTA(B436:H436,J436,M436:N436,P436:Q436)&lt;12,"PREENCHER OBRIGATÓRIOS",IF(OR(J436&lt;0,M436&lt;0),"VALOR INVÁLIDO","OK")))</f>
        <v/>
      </c>
    </row>
    <row r="437">
      <c r="A437" s="11" t="inlineStr">
        <is>
          <t>NÃO</t>
        </is>
      </c>
      <c r="B437" s="11" t="n"/>
      <c r="C437" s="11" t="n"/>
      <c r="D437" s="11" t="n"/>
      <c r="E437" s="12">
        <f>IFERROR(VLOOKUP(D437,PRODUTOS!$A:$J,2,FALSE),"")</f>
        <v/>
      </c>
      <c r="F437" s="11" t="n"/>
      <c r="G437" s="13" t="n"/>
      <c r="H437" s="11" t="inlineStr">
        <is>
          <t>DISPONÍVEL</t>
        </is>
      </c>
      <c r="I437" s="14" t="n"/>
      <c r="J437" s="15" t="n"/>
      <c r="K437" s="14">
        <f>IF(J437="","",J437-I437)</f>
        <v/>
      </c>
      <c r="L437" s="12">
        <f>IFERROR(VLOOKUP(D437,PRODUTOS!$A:$J,4,FALSE),"")</f>
        <v/>
      </c>
      <c r="M437" s="16" t="n"/>
      <c r="N437" s="11" t="n"/>
      <c r="O437" s="11" t="n"/>
      <c r="P437" s="13" t="n"/>
      <c r="Q437" s="11" t="n"/>
      <c r="R437" s="11" t="n"/>
      <c r="S437" s="11" t="n"/>
      <c r="T437" s="12">
        <f>IF(A437&lt;&gt;"SIM","NÃO MARCADA",IF(COUNTA(B437:H437,J437,M437:N437,P437:Q437)&lt;12,"PREENCHER OBRIGATÓRIOS",IF(OR(J437&lt;0,M437&lt;0),"VALOR INVÁLIDO","OK")))</f>
        <v/>
      </c>
    </row>
    <row r="438">
      <c r="A438" s="11" t="inlineStr">
        <is>
          <t>NÃO</t>
        </is>
      </c>
      <c r="B438" s="11" t="n"/>
      <c r="C438" s="11" t="n"/>
      <c r="D438" s="11" t="n"/>
      <c r="E438" s="12">
        <f>IFERROR(VLOOKUP(D438,PRODUTOS!$A:$J,2,FALSE),"")</f>
        <v/>
      </c>
      <c r="F438" s="11" t="n"/>
      <c r="G438" s="13" t="n"/>
      <c r="H438" s="11" t="inlineStr">
        <is>
          <t>DISPONÍVEL</t>
        </is>
      </c>
      <c r="I438" s="14" t="n"/>
      <c r="J438" s="15" t="n"/>
      <c r="K438" s="14">
        <f>IF(J438="","",J438-I438)</f>
        <v/>
      </c>
      <c r="L438" s="12">
        <f>IFERROR(VLOOKUP(D438,PRODUTOS!$A:$J,4,FALSE),"")</f>
        <v/>
      </c>
      <c r="M438" s="16" t="n"/>
      <c r="N438" s="11" t="n"/>
      <c r="O438" s="11" t="n"/>
      <c r="P438" s="13" t="n"/>
      <c r="Q438" s="11" t="n"/>
      <c r="R438" s="11" t="n"/>
      <c r="S438" s="11" t="n"/>
      <c r="T438" s="12">
        <f>IF(A438&lt;&gt;"SIM","NÃO MARCADA",IF(COUNTA(B438:H438,J438,M438:N438,P438:Q438)&lt;12,"PREENCHER OBRIGATÓRIOS",IF(OR(J438&lt;0,M438&lt;0),"VALOR INVÁLIDO","OK")))</f>
        <v/>
      </c>
    </row>
    <row r="439">
      <c r="A439" s="11" t="inlineStr">
        <is>
          <t>NÃO</t>
        </is>
      </c>
      <c r="B439" s="11" t="n"/>
      <c r="C439" s="11" t="n"/>
      <c r="D439" s="11" t="n"/>
      <c r="E439" s="12">
        <f>IFERROR(VLOOKUP(D439,PRODUTOS!$A:$J,2,FALSE),"")</f>
        <v/>
      </c>
      <c r="F439" s="11" t="n"/>
      <c r="G439" s="13" t="n"/>
      <c r="H439" s="11" t="inlineStr">
        <is>
          <t>DISPONÍVEL</t>
        </is>
      </c>
      <c r="I439" s="14" t="n"/>
      <c r="J439" s="15" t="n"/>
      <c r="K439" s="14">
        <f>IF(J439="","",J439-I439)</f>
        <v/>
      </c>
      <c r="L439" s="12">
        <f>IFERROR(VLOOKUP(D439,PRODUTOS!$A:$J,4,FALSE),"")</f>
        <v/>
      </c>
      <c r="M439" s="16" t="n"/>
      <c r="N439" s="11" t="n"/>
      <c r="O439" s="11" t="n"/>
      <c r="P439" s="13" t="n"/>
      <c r="Q439" s="11" t="n"/>
      <c r="R439" s="11" t="n"/>
      <c r="S439" s="11" t="n"/>
      <c r="T439" s="12">
        <f>IF(A439&lt;&gt;"SIM","NÃO MARCADA",IF(COUNTA(B439:H439,J439,M439:N439,P439:Q439)&lt;12,"PREENCHER OBRIGATÓRIOS",IF(OR(J439&lt;0,M439&lt;0),"VALOR INVÁLIDO","OK")))</f>
        <v/>
      </c>
    </row>
    <row r="440">
      <c r="A440" s="11" t="inlineStr">
        <is>
          <t>NÃO</t>
        </is>
      </c>
      <c r="B440" s="11" t="n"/>
      <c r="C440" s="11" t="n"/>
      <c r="D440" s="11" t="n"/>
      <c r="E440" s="12">
        <f>IFERROR(VLOOKUP(D440,PRODUTOS!$A:$J,2,FALSE),"")</f>
        <v/>
      </c>
      <c r="F440" s="11" t="n"/>
      <c r="G440" s="13" t="n"/>
      <c r="H440" s="11" t="inlineStr">
        <is>
          <t>DISPONÍVEL</t>
        </is>
      </c>
      <c r="I440" s="14" t="n"/>
      <c r="J440" s="15" t="n"/>
      <c r="K440" s="14">
        <f>IF(J440="","",J440-I440)</f>
        <v/>
      </c>
      <c r="L440" s="12">
        <f>IFERROR(VLOOKUP(D440,PRODUTOS!$A:$J,4,FALSE),"")</f>
        <v/>
      </c>
      <c r="M440" s="16" t="n"/>
      <c r="N440" s="11" t="n"/>
      <c r="O440" s="11" t="n"/>
      <c r="P440" s="13" t="n"/>
      <c r="Q440" s="11" t="n"/>
      <c r="R440" s="11" t="n"/>
      <c r="S440" s="11" t="n"/>
      <c r="T440" s="12">
        <f>IF(A440&lt;&gt;"SIM","NÃO MARCADA",IF(COUNTA(B440:H440,J440,M440:N440,P440:Q440)&lt;12,"PREENCHER OBRIGATÓRIOS",IF(OR(J440&lt;0,M440&lt;0),"VALOR INVÁLIDO","OK")))</f>
        <v/>
      </c>
    </row>
    <row r="441">
      <c r="A441" s="11" t="inlineStr">
        <is>
          <t>NÃO</t>
        </is>
      </c>
      <c r="B441" s="11" t="n"/>
      <c r="C441" s="11" t="n"/>
      <c r="D441" s="11" t="n"/>
      <c r="E441" s="12">
        <f>IFERROR(VLOOKUP(D441,PRODUTOS!$A:$J,2,FALSE),"")</f>
        <v/>
      </c>
      <c r="F441" s="11" t="n"/>
      <c r="G441" s="13" t="n"/>
      <c r="H441" s="11" t="inlineStr">
        <is>
          <t>DISPONÍVEL</t>
        </is>
      </c>
      <c r="I441" s="14" t="n"/>
      <c r="J441" s="15" t="n"/>
      <c r="K441" s="14">
        <f>IF(J441="","",J441-I441)</f>
        <v/>
      </c>
      <c r="L441" s="12">
        <f>IFERROR(VLOOKUP(D441,PRODUTOS!$A:$J,4,FALSE),"")</f>
        <v/>
      </c>
      <c r="M441" s="16" t="n"/>
      <c r="N441" s="11" t="n"/>
      <c r="O441" s="11" t="n"/>
      <c r="P441" s="13" t="n"/>
      <c r="Q441" s="11" t="n"/>
      <c r="R441" s="11" t="n"/>
      <c r="S441" s="11" t="n"/>
      <c r="T441" s="12">
        <f>IF(A441&lt;&gt;"SIM","NÃO MARCADA",IF(COUNTA(B441:H441,J441,M441:N441,P441:Q441)&lt;12,"PREENCHER OBRIGATÓRIOS",IF(OR(J441&lt;0,M441&lt;0),"VALOR INVÁLIDO","OK")))</f>
        <v/>
      </c>
    </row>
    <row r="442">
      <c r="A442" s="11" t="inlineStr">
        <is>
          <t>NÃO</t>
        </is>
      </c>
      <c r="B442" s="11" t="n"/>
      <c r="C442" s="11" t="n"/>
      <c r="D442" s="11" t="n"/>
      <c r="E442" s="12">
        <f>IFERROR(VLOOKUP(D442,PRODUTOS!$A:$J,2,FALSE),"")</f>
        <v/>
      </c>
      <c r="F442" s="11" t="n"/>
      <c r="G442" s="13" t="n"/>
      <c r="H442" s="11" t="inlineStr">
        <is>
          <t>DISPONÍVEL</t>
        </is>
      </c>
      <c r="I442" s="14" t="n"/>
      <c r="J442" s="15" t="n"/>
      <c r="K442" s="14">
        <f>IF(J442="","",J442-I442)</f>
        <v/>
      </c>
      <c r="L442" s="12">
        <f>IFERROR(VLOOKUP(D442,PRODUTOS!$A:$J,4,FALSE),"")</f>
        <v/>
      </c>
      <c r="M442" s="16" t="n"/>
      <c r="N442" s="11" t="n"/>
      <c r="O442" s="11" t="n"/>
      <c r="P442" s="13" t="n"/>
      <c r="Q442" s="11" t="n"/>
      <c r="R442" s="11" t="n"/>
      <c r="S442" s="11" t="n"/>
      <c r="T442" s="12">
        <f>IF(A442&lt;&gt;"SIM","NÃO MARCADA",IF(COUNTA(B442:H442,J442,M442:N442,P442:Q442)&lt;12,"PREENCHER OBRIGATÓRIOS",IF(OR(J442&lt;0,M442&lt;0),"VALOR INVÁLIDO","OK")))</f>
        <v/>
      </c>
    </row>
    <row r="443">
      <c r="A443" s="11" t="inlineStr">
        <is>
          <t>NÃO</t>
        </is>
      </c>
      <c r="B443" s="11" t="n"/>
      <c r="C443" s="11" t="n"/>
      <c r="D443" s="11" t="n"/>
      <c r="E443" s="12">
        <f>IFERROR(VLOOKUP(D443,PRODUTOS!$A:$J,2,FALSE),"")</f>
        <v/>
      </c>
      <c r="F443" s="11" t="n"/>
      <c r="G443" s="13" t="n"/>
      <c r="H443" s="11" t="inlineStr">
        <is>
          <t>DISPONÍVEL</t>
        </is>
      </c>
      <c r="I443" s="14" t="n"/>
      <c r="J443" s="15" t="n"/>
      <c r="K443" s="14">
        <f>IF(J443="","",J443-I443)</f>
        <v/>
      </c>
      <c r="L443" s="12">
        <f>IFERROR(VLOOKUP(D443,PRODUTOS!$A:$J,4,FALSE),"")</f>
        <v/>
      </c>
      <c r="M443" s="16" t="n"/>
      <c r="N443" s="11" t="n"/>
      <c r="O443" s="11" t="n"/>
      <c r="P443" s="13" t="n"/>
      <c r="Q443" s="11" t="n"/>
      <c r="R443" s="11" t="n"/>
      <c r="S443" s="11" t="n"/>
      <c r="T443" s="12">
        <f>IF(A443&lt;&gt;"SIM","NÃO MARCADA",IF(COUNTA(B443:H443,J443,M443:N443,P443:Q443)&lt;12,"PREENCHER OBRIGATÓRIOS",IF(OR(J443&lt;0,M443&lt;0),"VALOR INVÁLIDO","OK")))</f>
        <v/>
      </c>
    </row>
    <row r="444">
      <c r="A444" s="11" t="inlineStr">
        <is>
          <t>NÃO</t>
        </is>
      </c>
      <c r="B444" s="11" t="n"/>
      <c r="C444" s="11" t="n"/>
      <c r="D444" s="11" t="n"/>
      <c r="E444" s="12">
        <f>IFERROR(VLOOKUP(D444,PRODUTOS!$A:$J,2,FALSE),"")</f>
        <v/>
      </c>
      <c r="F444" s="11" t="n"/>
      <c r="G444" s="13" t="n"/>
      <c r="H444" s="11" t="inlineStr">
        <is>
          <t>DISPONÍVEL</t>
        </is>
      </c>
      <c r="I444" s="14" t="n"/>
      <c r="J444" s="15" t="n"/>
      <c r="K444" s="14">
        <f>IF(J444="","",J444-I444)</f>
        <v/>
      </c>
      <c r="L444" s="12">
        <f>IFERROR(VLOOKUP(D444,PRODUTOS!$A:$J,4,FALSE),"")</f>
        <v/>
      </c>
      <c r="M444" s="16" t="n"/>
      <c r="N444" s="11" t="n"/>
      <c r="O444" s="11" t="n"/>
      <c r="P444" s="13" t="n"/>
      <c r="Q444" s="11" t="n"/>
      <c r="R444" s="11" t="n"/>
      <c r="S444" s="11" t="n"/>
      <c r="T444" s="12">
        <f>IF(A444&lt;&gt;"SIM","NÃO MARCADA",IF(COUNTA(B444:H444,J444,M444:N444,P444:Q444)&lt;12,"PREENCHER OBRIGATÓRIOS",IF(OR(J444&lt;0,M444&lt;0),"VALOR INVÁLIDO","OK")))</f>
        <v/>
      </c>
    </row>
    <row r="445">
      <c r="A445" s="11" t="inlineStr">
        <is>
          <t>NÃO</t>
        </is>
      </c>
      <c r="B445" s="11" t="n"/>
      <c r="C445" s="11" t="n"/>
      <c r="D445" s="11" t="n"/>
      <c r="E445" s="12">
        <f>IFERROR(VLOOKUP(D445,PRODUTOS!$A:$J,2,FALSE),"")</f>
        <v/>
      </c>
      <c r="F445" s="11" t="n"/>
      <c r="G445" s="13" t="n"/>
      <c r="H445" s="11" t="inlineStr">
        <is>
          <t>DISPONÍVEL</t>
        </is>
      </c>
      <c r="I445" s="14" t="n"/>
      <c r="J445" s="15" t="n"/>
      <c r="K445" s="14">
        <f>IF(J445="","",J445-I445)</f>
        <v/>
      </c>
      <c r="L445" s="12">
        <f>IFERROR(VLOOKUP(D445,PRODUTOS!$A:$J,4,FALSE),"")</f>
        <v/>
      </c>
      <c r="M445" s="16" t="n"/>
      <c r="N445" s="11" t="n"/>
      <c r="O445" s="11" t="n"/>
      <c r="P445" s="13" t="n"/>
      <c r="Q445" s="11" t="n"/>
      <c r="R445" s="11" t="n"/>
      <c r="S445" s="11" t="n"/>
      <c r="T445" s="12">
        <f>IF(A445&lt;&gt;"SIM","NÃO MARCADA",IF(COUNTA(B445:H445,J445,M445:N445,P445:Q445)&lt;12,"PREENCHER OBRIGATÓRIOS",IF(OR(J445&lt;0,M445&lt;0),"VALOR INVÁLIDO","OK")))</f>
        <v/>
      </c>
    </row>
    <row r="446">
      <c r="A446" s="11" t="inlineStr">
        <is>
          <t>NÃO</t>
        </is>
      </c>
      <c r="B446" s="11" t="n"/>
      <c r="C446" s="11" t="n"/>
      <c r="D446" s="11" t="n"/>
      <c r="E446" s="12">
        <f>IFERROR(VLOOKUP(D446,PRODUTOS!$A:$J,2,FALSE),"")</f>
        <v/>
      </c>
      <c r="F446" s="11" t="n"/>
      <c r="G446" s="13" t="n"/>
      <c r="H446" s="11" t="inlineStr">
        <is>
          <t>DISPONÍVEL</t>
        </is>
      </c>
      <c r="I446" s="14" t="n"/>
      <c r="J446" s="15" t="n"/>
      <c r="K446" s="14">
        <f>IF(J446="","",J446-I446)</f>
        <v/>
      </c>
      <c r="L446" s="12">
        <f>IFERROR(VLOOKUP(D446,PRODUTOS!$A:$J,4,FALSE),"")</f>
        <v/>
      </c>
      <c r="M446" s="16" t="n"/>
      <c r="N446" s="11" t="n"/>
      <c r="O446" s="11" t="n"/>
      <c r="P446" s="13" t="n"/>
      <c r="Q446" s="11" t="n"/>
      <c r="R446" s="11" t="n"/>
      <c r="S446" s="11" t="n"/>
      <c r="T446" s="12">
        <f>IF(A446&lt;&gt;"SIM","NÃO MARCADA",IF(COUNTA(B446:H446,J446,M446:N446,P446:Q446)&lt;12,"PREENCHER OBRIGATÓRIOS",IF(OR(J446&lt;0,M446&lt;0),"VALOR INVÁLIDO","OK")))</f>
        <v/>
      </c>
    </row>
    <row r="447">
      <c r="A447" s="11" t="inlineStr">
        <is>
          <t>NÃO</t>
        </is>
      </c>
      <c r="B447" s="11" t="n"/>
      <c r="C447" s="11" t="n"/>
      <c r="D447" s="11" t="n"/>
      <c r="E447" s="12">
        <f>IFERROR(VLOOKUP(D447,PRODUTOS!$A:$J,2,FALSE),"")</f>
        <v/>
      </c>
      <c r="F447" s="11" t="n"/>
      <c r="G447" s="13" t="n"/>
      <c r="H447" s="11" t="inlineStr">
        <is>
          <t>DISPONÍVEL</t>
        </is>
      </c>
      <c r="I447" s="14" t="n"/>
      <c r="J447" s="15" t="n"/>
      <c r="K447" s="14">
        <f>IF(J447="","",J447-I447)</f>
        <v/>
      </c>
      <c r="L447" s="12">
        <f>IFERROR(VLOOKUP(D447,PRODUTOS!$A:$J,4,FALSE),"")</f>
        <v/>
      </c>
      <c r="M447" s="16" t="n"/>
      <c r="N447" s="11" t="n"/>
      <c r="O447" s="11" t="n"/>
      <c r="P447" s="13" t="n"/>
      <c r="Q447" s="11" t="n"/>
      <c r="R447" s="11" t="n"/>
      <c r="S447" s="11" t="n"/>
      <c r="T447" s="12">
        <f>IF(A447&lt;&gt;"SIM","NÃO MARCADA",IF(COUNTA(B447:H447,J447,M447:N447,P447:Q447)&lt;12,"PREENCHER OBRIGATÓRIOS",IF(OR(J447&lt;0,M447&lt;0),"VALOR INVÁLIDO","OK")))</f>
        <v/>
      </c>
    </row>
    <row r="448">
      <c r="A448" s="11" t="inlineStr">
        <is>
          <t>NÃO</t>
        </is>
      </c>
      <c r="B448" s="11" t="n"/>
      <c r="C448" s="11" t="n"/>
      <c r="D448" s="11" t="n"/>
      <c r="E448" s="12">
        <f>IFERROR(VLOOKUP(D448,PRODUTOS!$A:$J,2,FALSE),"")</f>
        <v/>
      </c>
      <c r="F448" s="11" t="n"/>
      <c r="G448" s="13" t="n"/>
      <c r="H448" s="11" t="inlineStr">
        <is>
          <t>DISPONÍVEL</t>
        </is>
      </c>
      <c r="I448" s="14" t="n"/>
      <c r="J448" s="15" t="n"/>
      <c r="K448" s="14">
        <f>IF(J448="","",J448-I448)</f>
        <v/>
      </c>
      <c r="L448" s="12">
        <f>IFERROR(VLOOKUP(D448,PRODUTOS!$A:$J,4,FALSE),"")</f>
        <v/>
      </c>
      <c r="M448" s="16" t="n"/>
      <c r="N448" s="11" t="n"/>
      <c r="O448" s="11" t="n"/>
      <c r="P448" s="13" t="n"/>
      <c r="Q448" s="11" t="n"/>
      <c r="R448" s="11" t="n"/>
      <c r="S448" s="11" t="n"/>
      <c r="T448" s="12">
        <f>IF(A448&lt;&gt;"SIM","NÃO MARCADA",IF(COUNTA(B448:H448,J448,M448:N448,P448:Q448)&lt;12,"PREENCHER OBRIGATÓRIOS",IF(OR(J448&lt;0,M448&lt;0),"VALOR INVÁLIDO","OK")))</f>
        <v/>
      </c>
    </row>
    <row r="449">
      <c r="A449" s="11" t="inlineStr">
        <is>
          <t>NÃO</t>
        </is>
      </c>
      <c r="B449" s="11" t="n"/>
      <c r="C449" s="11" t="n"/>
      <c r="D449" s="11" t="n"/>
      <c r="E449" s="12">
        <f>IFERROR(VLOOKUP(D449,PRODUTOS!$A:$J,2,FALSE),"")</f>
        <v/>
      </c>
      <c r="F449" s="11" t="n"/>
      <c r="G449" s="13" t="n"/>
      <c r="H449" s="11" t="inlineStr">
        <is>
          <t>DISPONÍVEL</t>
        </is>
      </c>
      <c r="I449" s="14" t="n"/>
      <c r="J449" s="15" t="n"/>
      <c r="K449" s="14">
        <f>IF(J449="","",J449-I449)</f>
        <v/>
      </c>
      <c r="L449" s="12">
        <f>IFERROR(VLOOKUP(D449,PRODUTOS!$A:$J,4,FALSE),"")</f>
        <v/>
      </c>
      <c r="M449" s="16" t="n"/>
      <c r="N449" s="11" t="n"/>
      <c r="O449" s="11" t="n"/>
      <c r="P449" s="13" t="n"/>
      <c r="Q449" s="11" t="n"/>
      <c r="R449" s="11" t="n"/>
      <c r="S449" s="11" t="n"/>
      <c r="T449" s="12">
        <f>IF(A449&lt;&gt;"SIM","NÃO MARCADA",IF(COUNTA(B449:H449,J449,M449:N449,P449:Q449)&lt;12,"PREENCHER OBRIGATÓRIOS",IF(OR(J449&lt;0,M449&lt;0),"VALOR INVÁLIDO","OK")))</f>
        <v/>
      </c>
    </row>
    <row r="450">
      <c r="A450" s="11" t="inlineStr">
        <is>
          <t>NÃO</t>
        </is>
      </c>
      <c r="B450" s="11" t="n"/>
      <c r="C450" s="11" t="n"/>
      <c r="D450" s="11" t="n"/>
      <c r="E450" s="12">
        <f>IFERROR(VLOOKUP(D450,PRODUTOS!$A:$J,2,FALSE),"")</f>
        <v/>
      </c>
      <c r="F450" s="11" t="n"/>
      <c r="G450" s="13" t="n"/>
      <c r="H450" s="11" t="inlineStr">
        <is>
          <t>DISPONÍVEL</t>
        </is>
      </c>
      <c r="I450" s="14" t="n"/>
      <c r="J450" s="15" t="n"/>
      <c r="K450" s="14">
        <f>IF(J450="","",J450-I450)</f>
        <v/>
      </c>
      <c r="L450" s="12">
        <f>IFERROR(VLOOKUP(D450,PRODUTOS!$A:$J,4,FALSE),"")</f>
        <v/>
      </c>
      <c r="M450" s="16" t="n"/>
      <c r="N450" s="11" t="n"/>
      <c r="O450" s="11" t="n"/>
      <c r="P450" s="13" t="n"/>
      <c r="Q450" s="11" t="n"/>
      <c r="R450" s="11" t="n"/>
      <c r="S450" s="11" t="n"/>
      <c r="T450" s="12">
        <f>IF(A450&lt;&gt;"SIM","NÃO MARCADA",IF(COUNTA(B450:H450,J450,M450:N450,P450:Q450)&lt;12,"PREENCHER OBRIGATÓRIOS",IF(OR(J450&lt;0,M450&lt;0),"VALOR INVÁLIDO","OK")))</f>
        <v/>
      </c>
    </row>
    <row r="451">
      <c r="A451" s="11" t="inlineStr">
        <is>
          <t>NÃO</t>
        </is>
      </c>
      <c r="B451" s="11" t="n"/>
      <c r="C451" s="11" t="n"/>
      <c r="D451" s="11" t="n"/>
      <c r="E451" s="12">
        <f>IFERROR(VLOOKUP(D451,PRODUTOS!$A:$J,2,FALSE),"")</f>
        <v/>
      </c>
      <c r="F451" s="11" t="n"/>
      <c r="G451" s="13" t="n"/>
      <c r="H451" s="11" t="inlineStr">
        <is>
          <t>DISPONÍVEL</t>
        </is>
      </c>
      <c r="I451" s="14" t="n"/>
      <c r="J451" s="15" t="n"/>
      <c r="K451" s="14">
        <f>IF(J451="","",J451-I451)</f>
        <v/>
      </c>
      <c r="L451" s="12">
        <f>IFERROR(VLOOKUP(D451,PRODUTOS!$A:$J,4,FALSE),"")</f>
        <v/>
      </c>
      <c r="M451" s="16" t="n"/>
      <c r="N451" s="11" t="n"/>
      <c r="O451" s="11" t="n"/>
      <c r="P451" s="13" t="n"/>
      <c r="Q451" s="11" t="n"/>
      <c r="R451" s="11" t="n"/>
      <c r="S451" s="11" t="n"/>
      <c r="T451" s="12">
        <f>IF(A451&lt;&gt;"SIM","NÃO MARCADA",IF(COUNTA(B451:H451,J451,M451:N451,P451:Q451)&lt;12,"PREENCHER OBRIGATÓRIOS",IF(OR(J451&lt;0,M451&lt;0),"VALOR INVÁLIDO","OK")))</f>
        <v/>
      </c>
    </row>
    <row r="452">
      <c r="A452" s="11" t="inlineStr">
        <is>
          <t>NÃO</t>
        </is>
      </c>
      <c r="B452" s="11" t="n"/>
      <c r="C452" s="11" t="n"/>
      <c r="D452" s="11" t="n"/>
      <c r="E452" s="12">
        <f>IFERROR(VLOOKUP(D452,PRODUTOS!$A:$J,2,FALSE),"")</f>
        <v/>
      </c>
      <c r="F452" s="11" t="n"/>
      <c r="G452" s="13" t="n"/>
      <c r="H452" s="11" t="inlineStr">
        <is>
          <t>DISPONÍVEL</t>
        </is>
      </c>
      <c r="I452" s="14" t="n"/>
      <c r="J452" s="15" t="n"/>
      <c r="K452" s="14">
        <f>IF(J452="","",J452-I452)</f>
        <v/>
      </c>
      <c r="L452" s="12">
        <f>IFERROR(VLOOKUP(D452,PRODUTOS!$A:$J,4,FALSE),"")</f>
        <v/>
      </c>
      <c r="M452" s="16" t="n"/>
      <c r="N452" s="11" t="n"/>
      <c r="O452" s="11" t="n"/>
      <c r="P452" s="13" t="n"/>
      <c r="Q452" s="11" t="n"/>
      <c r="R452" s="11" t="n"/>
      <c r="S452" s="11" t="n"/>
      <c r="T452" s="12">
        <f>IF(A452&lt;&gt;"SIM","NÃO MARCADA",IF(COUNTA(B452:H452,J452,M452:N452,P452:Q452)&lt;12,"PREENCHER OBRIGATÓRIOS",IF(OR(J452&lt;0,M452&lt;0),"VALOR INVÁLIDO","OK")))</f>
        <v/>
      </c>
    </row>
    <row r="453">
      <c r="A453" s="11" t="inlineStr">
        <is>
          <t>NÃO</t>
        </is>
      </c>
      <c r="B453" s="11" t="n"/>
      <c r="C453" s="11" t="n"/>
      <c r="D453" s="11" t="n"/>
      <c r="E453" s="12">
        <f>IFERROR(VLOOKUP(D453,PRODUTOS!$A:$J,2,FALSE),"")</f>
        <v/>
      </c>
      <c r="F453" s="11" t="n"/>
      <c r="G453" s="13" t="n"/>
      <c r="H453" s="11" t="inlineStr">
        <is>
          <t>DISPONÍVEL</t>
        </is>
      </c>
      <c r="I453" s="14" t="n"/>
      <c r="J453" s="15" t="n"/>
      <c r="K453" s="14">
        <f>IF(J453="","",J453-I453)</f>
        <v/>
      </c>
      <c r="L453" s="12">
        <f>IFERROR(VLOOKUP(D453,PRODUTOS!$A:$J,4,FALSE),"")</f>
        <v/>
      </c>
      <c r="M453" s="16" t="n"/>
      <c r="N453" s="11" t="n"/>
      <c r="O453" s="11" t="n"/>
      <c r="P453" s="13" t="n"/>
      <c r="Q453" s="11" t="n"/>
      <c r="R453" s="11" t="n"/>
      <c r="S453" s="11" t="n"/>
      <c r="T453" s="12">
        <f>IF(A453&lt;&gt;"SIM","NÃO MARCADA",IF(COUNTA(B453:H453,J453,M453:N453,P453:Q453)&lt;12,"PREENCHER OBRIGATÓRIOS",IF(OR(J453&lt;0,M453&lt;0),"VALOR INVÁLIDO","OK")))</f>
        <v/>
      </c>
    </row>
    <row r="454">
      <c r="A454" s="11" t="inlineStr">
        <is>
          <t>NÃO</t>
        </is>
      </c>
      <c r="B454" s="11" t="n"/>
      <c r="C454" s="11" t="n"/>
      <c r="D454" s="11" t="n"/>
      <c r="E454" s="12">
        <f>IFERROR(VLOOKUP(D454,PRODUTOS!$A:$J,2,FALSE),"")</f>
        <v/>
      </c>
      <c r="F454" s="11" t="n"/>
      <c r="G454" s="13" t="n"/>
      <c r="H454" s="11" t="inlineStr">
        <is>
          <t>DISPONÍVEL</t>
        </is>
      </c>
      <c r="I454" s="14" t="n"/>
      <c r="J454" s="15" t="n"/>
      <c r="K454" s="14">
        <f>IF(J454="","",J454-I454)</f>
        <v/>
      </c>
      <c r="L454" s="12">
        <f>IFERROR(VLOOKUP(D454,PRODUTOS!$A:$J,4,FALSE),"")</f>
        <v/>
      </c>
      <c r="M454" s="16" t="n"/>
      <c r="N454" s="11" t="n"/>
      <c r="O454" s="11" t="n"/>
      <c r="P454" s="13" t="n"/>
      <c r="Q454" s="11" t="n"/>
      <c r="R454" s="11" t="n"/>
      <c r="S454" s="11" t="n"/>
      <c r="T454" s="12">
        <f>IF(A454&lt;&gt;"SIM","NÃO MARCADA",IF(COUNTA(B454:H454,J454,M454:N454,P454:Q454)&lt;12,"PREENCHER OBRIGATÓRIOS",IF(OR(J454&lt;0,M454&lt;0),"VALOR INVÁLIDO","OK")))</f>
        <v/>
      </c>
    </row>
    <row r="455">
      <c r="A455" s="11" t="inlineStr">
        <is>
          <t>NÃO</t>
        </is>
      </c>
      <c r="B455" s="11" t="n"/>
      <c r="C455" s="11" t="n"/>
      <c r="D455" s="11" t="n"/>
      <c r="E455" s="12">
        <f>IFERROR(VLOOKUP(D455,PRODUTOS!$A:$J,2,FALSE),"")</f>
        <v/>
      </c>
      <c r="F455" s="11" t="n"/>
      <c r="G455" s="13" t="n"/>
      <c r="H455" s="11" t="inlineStr">
        <is>
          <t>DISPONÍVEL</t>
        </is>
      </c>
      <c r="I455" s="14" t="n"/>
      <c r="J455" s="15" t="n"/>
      <c r="K455" s="14">
        <f>IF(J455="","",J455-I455)</f>
        <v/>
      </c>
      <c r="L455" s="12">
        <f>IFERROR(VLOOKUP(D455,PRODUTOS!$A:$J,4,FALSE),"")</f>
        <v/>
      </c>
      <c r="M455" s="16" t="n"/>
      <c r="N455" s="11" t="n"/>
      <c r="O455" s="11" t="n"/>
      <c r="P455" s="13" t="n"/>
      <c r="Q455" s="11" t="n"/>
      <c r="R455" s="11" t="n"/>
      <c r="S455" s="11" t="n"/>
      <c r="T455" s="12">
        <f>IF(A455&lt;&gt;"SIM","NÃO MARCADA",IF(COUNTA(B455:H455,J455,M455:N455,P455:Q455)&lt;12,"PREENCHER OBRIGATÓRIOS",IF(OR(J455&lt;0,M455&lt;0),"VALOR INVÁLIDO","OK")))</f>
        <v/>
      </c>
    </row>
    <row r="456">
      <c r="A456" s="11" t="inlineStr">
        <is>
          <t>NÃO</t>
        </is>
      </c>
      <c r="B456" s="11" t="n"/>
      <c r="C456" s="11" t="n"/>
      <c r="D456" s="11" t="n"/>
      <c r="E456" s="12">
        <f>IFERROR(VLOOKUP(D456,PRODUTOS!$A:$J,2,FALSE),"")</f>
        <v/>
      </c>
      <c r="F456" s="11" t="n"/>
      <c r="G456" s="13" t="n"/>
      <c r="H456" s="11" t="inlineStr">
        <is>
          <t>DISPONÍVEL</t>
        </is>
      </c>
      <c r="I456" s="14" t="n"/>
      <c r="J456" s="15" t="n"/>
      <c r="K456" s="14">
        <f>IF(J456="","",J456-I456)</f>
        <v/>
      </c>
      <c r="L456" s="12">
        <f>IFERROR(VLOOKUP(D456,PRODUTOS!$A:$J,4,FALSE),"")</f>
        <v/>
      </c>
      <c r="M456" s="16" t="n"/>
      <c r="N456" s="11" t="n"/>
      <c r="O456" s="11" t="n"/>
      <c r="P456" s="13" t="n"/>
      <c r="Q456" s="11" t="n"/>
      <c r="R456" s="11" t="n"/>
      <c r="S456" s="11" t="n"/>
      <c r="T456" s="12">
        <f>IF(A456&lt;&gt;"SIM","NÃO MARCADA",IF(COUNTA(B456:H456,J456,M456:N456,P456:Q456)&lt;12,"PREENCHER OBRIGATÓRIOS",IF(OR(J456&lt;0,M456&lt;0),"VALOR INVÁLIDO","OK")))</f>
        <v/>
      </c>
    </row>
    <row r="457">
      <c r="A457" s="11" t="inlineStr">
        <is>
          <t>NÃO</t>
        </is>
      </c>
      <c r="B457" s="11" t="n"/>
      <c r="C457" s="11" t="n"/>
      <c r="D457" s="11" t="n"/>
      <c r="E457" s="12">
        <f>IFERROR(VLOOKUP(D457,PRODUTOS!$A:$J,2,FALSE),"")</f>
        <v/>
      </c>
      <c r="F457" s="11" t="n"/>
      <c r="G457" s="13" t="n"/>
      <c r="H457" s="11" t="inlineStr">
        <is>
          <t>DISPONÍVEL</t>
        </is>
      </c>
      <c r="I457" s="14" t="n"/>
      <c r="J457" s="15" t="n"/>
      <c r="K457" s="14">
        <f>IF(J457="","",J457-I457)</f>
        <v/>
      </c>
      <c r="L457" s="12">
        <f>IFERROR(VLOOKUP(D457,PRODUTOS!$A:$J,4,FALSE),"")</f>
        <v/>
      </c>
      <c r="M457" s="16" t="n"/>
      <c r="N457" s="11" t="n"/>
      <c r="O457" s="11" t="n"/>
      <c r="P457" s="13" t="n"/>
      <c r="Q457" s="11" t="n"/>
      <c r="R457" s="11" t="n"/>
      <c r="S457" s="11" t="n"/>
      <c r="T457" s="12">
        <f>IF(A457&lt;&gt;"SIM","NÃO MARCADA",IF(COUNTA(B457:H457,J457,M457:N457,P457:Q457)&lt;12,"PREENCHER OBRIGATÓRIOS",IF(OR(J457&lt;0,M457&lt;0),"VALOR INVÁLIDO","OK")))</f>
        <v/>
      </c>
    </row>
    <row r="458">
      <c r="A458" s="11" t="inlineStr">
        <is>
          <t>NÃO</t>
        </is>
      </c>
      <c r="B458" s="11" t="n"/>
      <c r="C458" s="11" t="n"/>
      <c r="D458" s="11" t="n"/>
      <c r="E458" s="12">
        <f>IFERROR(VLOOKUP(D458,PRODUTOS!$A:$J,2,FALSE),"")</f>
        <v/>
      </c>
      <c r="F458" s="11" t="n"/>
      <c r="G458" s="13" t="n"/>
      <c r="H458" s="11" t="inlineStr">
        <is>
          <t>DISPONÍVEL</t>
        </is>
      </c>
      <c r="I458" s="14" t="n"/>
      <c r="J458" s="15" t="n"/>
      <c r="K458" s="14">
        <f>IF(J458="","",J458-I458)</f>
        <v/>
      </c>
      <c r="L458" s="12">
        <f>IFERROR(VLOOKUP(D458,PRODUTOS!$A:$J,4,FALSE),"")</f>
        <v/>
      </c>
      <c r="M458" s="16" t="n"/>
      <c r="N458" s="11" t="n"/>
      <c r="O458" s="11" t="n"/>
      <c r="P458" s="13" t="n"/>
      <c r="Q458" s="11" t="n"/>
      <c r="R458" s="11" t="n"/>
      <c r="S458" s="11" t="n"/>
      <c r="T458" s="12">
        <f>IF(A458&lt;&gt;"SIM","NÃO MARCADA",IF(COUNTA(B458:H458,J458,M458:N458,P458:Q458)&lt;12,"PREENCHER OBRIGATÓRIOS",IF(OR(J458&lt;0,M458&lt;0),"VALOR INVÁLIDO","OK")))</f>
        <v/>
      </c>
    </row>
    <row r="459">
      <c r="A459" s="11" t="inlineStr">
        <is>
          <t>NÃO</t>
        </is>
      </c>
      <c r="B459" s="11" t="n"/>
      <c r="C459" s="11" t="n"/>
      <c r="D459" s="11" t="n"/>
      <c r="E459" s="12">
        <f>IFERROR(VLOOKUP(D459,PRODUTOS!$A:$J,2,FALSE),"")</f>
        <v/>
      </c>
      <c r="F459" s="11" t="n"/>
      <c r="G459" s="13" t="n"/>
      <c r="H459" s="11" t="inlineStr">
        <is>
          <t>DISPONÍVEL</t>
        </is>
      </c>
      <c r="I459" s="14" t="n"/>
      <c r="J459" s="15" t="n"/>
      <c r="K459" s="14">
        <f>IF(J459="","",J459-I459)</f>
        <v/>
      </c>
      <c r="L459" s="12">
        <f>IFERROR(VLOOKUP(D459,PRODUTOS!$A:$J,4,FALSE),"")</f>
        <v/>
      </c>
      <c r="M459" s="16" t="n"/>
      <c r="N459" s="11" t="n"/>
      <c r="O459" s="11" t="n"/>
      <c r="P459" s="13" t="n"/>
      <c r="Q459" s="11" t="n"/>
      <c r="R459" s="11" t="n"/>
      <c r="S459" s="11" t="n"/>
      <c r="T459" s="12">
        <f>IF(A459&lt;&gt;"SIM","NÃO MARCADA",IF(COUNTA(B459:H459,J459,M459:N459,P459:Q459)&lt;12,"PREENCHER OBRIGATÓRIOS",IF(OR(J459&lt;0,M459&lt;0),"VALOR INVÁLIDO","OK")))</f>
        <v/>
      </c>
    </row>
    <row r="460">
      <c r="A460" s="11" t="inlineStr">
        <is>
          <t>NÃO</t>
        </is>
      </c>
      <c r="B460" s="11" t="n"/>
      <c r="C460" s="11" t="n"/>
      <c r="D460" s="11" t="n"/>
      <c r="E460" s="12">
        <f>IFERROR(VLOOKUP(D460,PRODUTOS!$A:$J,2,FALSE),"")</f>
        <v/>
      </c>
      <c r="F460" s="11" t="n"/>
      <c r="G460" s="13" t="n"/>
      <c r="H460" s="11" t="inlineStr">
        <is>
          <t>DISPONÍVEL</t>
        </is>
      </c>
      <c r="I460" s="14" t="n"/>
      <c r="J460" s="15" t="n"/>
      <c r="K460" s="14">
        <f>IF(J460="","",J460-I460)</f>
        <v/>
      </c>
      <c r="L460" s="12">
        <f>IFERROR(VLOOKUP(D460,PRODUTOS!$A:$J,4,FALSE),"")</f>
        <v/>
      </c>
      <c r="M460" s="16" t="n"/>
      <c r="N460" s="11" t="n"/>
      <c r="O460" s="11" t="n"/>
      <c r="P460" s="13" t="n"/>
      <c r="Q460" s="11" t="n"/>
      <c r="R460" s="11" t="n"/>
      <c r="S460" s="11" t="n"/>
      <c r="T460" s="12">
        <f>IF(A460&lt;&gt;"SIM","NÃO MARCADA",IF(COUNTA(B460:H460,J460,M460:N460,P460:Q460)&lt;12,"PREENCHER OBRIGATÓRIOS",IF(OR(J460&lt;0,M460&lt;0),"VALOR INVÁLIDO","OK")))</f>
        <v/>
      </c>
    </row>
    <row r="461">
      <c r="A461" s="11" t="inlineStr">
        <is>
          <t>NÃO</t>
        </is>
      </c>
      <c r="B461" s="11" t="n"/>
      <c r="C461" s="11" t="n"/>
      <c r="D461" s="11" t="n"/>
      <c r="E461" s="12">
        <f>IFERROR(VLOOKUP(D461,PRODUTOS!$A:$J,2,FALSE),"")</f>
        <v/>
      </c>
      <c r="F461" s="11" t="n"/>
      <c r="G461" s="13" t="n"/>
      <c r="H461" s="11" t="inlineStr">
        <is>
          <t>DISPONÍVEL</t>
        </is>
      </c>
      <c r="I461" s="14" t="n"/>
      <c r="J461" s="15" t="n"/>
      <c r="K461" s="14">
        <f>IF(J461="","",J461-I461)</f>
        <v/>
      </c>
      <c r="L461" s="12">
        <f>IFERROR(VLOOKUP(D461,PRODUTOS!$A:$J,4,FALSE),"")</f>
        <v/>
      </c>
      <c r="M461" s="16" t="n"/>
      <c r="N461" s="11" t="n"/>
      <c r="O461" s="11" t="n"/>
      <c r="P461" s="13" t="n"/>
      <c r="Q461" s="11" t="n"/>
      <c r="R461" s="11" t="n"/>
      <c r="S461" s="11" t="n"/>
      <c r="T461" s="12">
        <f>IF(A461&lt;&gt;"SIM","NÃO MARCADA",IF(COUNTA(B461:H461,J461,M461:N461,P461:Q461)&lt;12,"PREENCHER OBRIGATÓRIOS",IF(OR(J461&lt;0,M461&lt;0),"VALOR INVÁLIDO","OK")))</f>
        <v/>
      </c>
    </row>
    <row r="462">
      <c r="A462" s="11" t="inlineStr">
        <is>
          <t>NÃO</t>
        </is>
      </c>
      <c r="B462" s="11" t="n"/>
      <c r="C462" s="11" t="n"/>
      <c r="D462" s="11" t="n"/>
      <c r="E462" s="12">
        <f>IFERROR(VLOOKUP(D462,PRODUTOS!$A:$J,2,FALSE),"")</f>
        <v/>
      </c>
      <c r="F462" s="11" t="n"/>
      <c r="G462" s="13" t="n"/>
      <c r="H462" s="11" t="inlineStr">
        <is>
          <t>DISPONÍVEL</t>
        </is>
      </c>
      <c r="I462" s="14" t="n"/>
      <c r="J462" s="15" t="n"/>
      <c r="K462" s="14">
        <f>IF(J462="","",J462-I462)</f>
        <v/>
      </c>
      <c r="L462" s="12">
        <f>IFERROR(VLOOKUP(D462,PRODUTOS!$A:$J,4,FALSE),"")</f>
        <v/>
      </c>
      <c r="M462" s="16" t="n"/>
      <c r="N462" s="11" t="n"/>
      <c r="O462" s="11" t="n"/>
      <c r="P462" s="13" t="n"/>
      <c r="Q462" s="11" t="n"/>
      <c r="R462" s="11" t="n"/>
      <c r="S462" s="11" t="n"/>
      <c r="T462" s="12">
        <f>IF(A462&lt;&gt;"SIM","NÃO MARCADA",IF(COUNTA(B462:H462,J462,M462:N462,P462:Q462)&lt;12,"PREENCHER OBRIGATÓRIOS",IF(OR(J462&lt;0,M462&lt;0),"VALOR INVÁLIDO","OK")))</f>
        <v/>
      </c>
    </row>
    <row r="463">
      <c r="A463" s="11" t="inlineStr">
        <is>
          <t>NÃO</t>
        </is>
      </c>
      <c r="B463" s="11" t="n"/>
      <c r="C463" s="11" t="n"/>
      <c r="D463" s="11" t="n"/>
      <c r="E463" s="12">
        <f>IFERROR(VLOOKUP(D463,PRODUTOS!$A:$J,2,FALSE),"")</f>
        <v/>
      </c>
      <c r="F463" s="11" t="n"/>
      <c r="G463" s="13" t="n"/>
      <c r="H463" s="11" t="inlineStr">
        <is>
          <t>DISPONÍVEL</t>
        </is>
      </c>
      <c r="I463" s="14" t="n"/>
      <c r="J463" s="15" t="n"/>
      <c r="K463" s="14">
        <f>IF(J463="","",J463-I463)</f>
        <v/>
      </c>
      <c r="L463" s="12">
        <f>IFERROR(VLOOKUP(D463,PRODUTOS!$A:$J,4,FALSE),"")</f>
        <v/>
      </c>
      <c r="M463" s="16" t="n"/>
      <c r="N463" s="11" t="n"/>
      <c r="O463" s="11" t="n"/>
      <c r="P463" s="13" t="n"/>
      <c r="Q463" s="11" t="n"/>
      <c r="R463" s="11" t="n"/>
      <c r="S463" s="11" t="n"/>
      <c r="T463" s="12">
        <f>IF(A463&lt;&gt;"SIM","NÃO MARCADA",IF(COUNTA(B463:H463,J463,M463:N463,P463:Q463)&lt;12,"PREENCHER OBRIGATÓRIOS",IF(OR(J463&lt;0,M463&lt;0),"VALOR INVÁLIDO","OK")))</f>
        <v/>
      </c>
    </row>
    <row r="464">
      <c r="A464" s="11" t="inlineStr">
        <is>
          <t>NÃO</t>
        </is>
      </c>
      <c r="B464" s="11" t="n"/>
      <c r="C464" s="11" t="n"/>
      <c r="D464" s="11" t="n"/>
      <c r="E464" s="12">
        <f>IFERROR(VLOOKUP(D464,PRODUTOS!$A:$J,2,FALSE),"")</f>
        <v/>
      </c>
      <c r="F464" s="11" t="n"/>
      <c r="G464" s="13" t="n"/>
      <c r="H464" s="11" t="inlineStr">
        <is>
          <t>DISPONÍVEL</t>
        </is>
      </c>
      <c r="I464" s="14" t="n"/>
      <c r="J464" s="15" t="n"/>
      <c r="K464" s="14">
        <f>IF(J464="","",J464-I464)</f>
        <v/>
      </c>
      <c r="L464" s="12">
        <f>IFERROR(VLOOKUP(D464,PRODUTOS!$A:$J,4,FALSE),"")</f>
        <v/>
      </c>
      <c r="M464" s="16" t="n"/>
      <c r="N464" s="11" t="n"/>
      <c r="O464" s="11" t="n"/>
      <c r="P464" s="13" t="n"/>
      <c r="Q464" s="11" t="n"/>
      <c r="R464" s="11" t="n"/>
      <c r="S464" s="11" t="n"/>
      <c r="T464" s="12">
        <f>IF(A464&lt;&gt;"SIM","NÃO MARCADA",IF(COUNTA(B464:H464,J464,M464:N464,P464:Q464)&lt;12,"PREENCHER OBRIGATÓRIOS",IF(OR(J464&lt;0,M464&lt;0),"VALOR INVÁLIDO","OK")))</f>
        <v/>
      </c>
    </row>
    <row r="465">
      <c r="A465" s="11" t="inlineStr">
        <is>
          <t>NÃO</t>
        </is>
      </c>
      <c r="B465" s="11" t="n"/>
      <c r="C465" s="11" t="n"/>
      <c r="D465" s="11" t="n"/>
      <c r="E465" s="12">
        <f>IFERROR(VLOOKUP(D465,PRODUTOS!$A:$J,2,FALSE),"")</f>
        <v/>
      </c>
      <c r="F465" s="11" t="n"/>
      <c r="G465" s="13" t="n"/>
      <c r="H465" s="11" t="inlineStr">
        <is>
          <t>DISPONÍVEL</t>
        </is>
      </c>
      <c r="I465" s="14" t="n"/>
      <c r="J465" s="15" t="n"/>
      <c r="K465" s="14">
        <f>IF(J465="","",J465-I465)</f>
        <v/>
      </c>
      <c r="L465" s="12">
        <f>IFERROR(VLOOKUP(D465,PRODUTOS!$A:$J,4,FALSE),"")</f>
        <v/>
      </c>
      <c r="M465" s="16" t="n"/>
      <c r="N465" s="11" t="n"/>
      <c r="O465" s="11" t="n"/>
      <c r="P465" s="13" t="n"/>
      <c r="Q465" s="11" t="n"/>
      <c r="R465" s="11" t="n"/>
      <c r="S465" s="11" t="n"/>
      <c r="T465" s="12">
        <f>IF(A465&lt;&gt;"SIM","NÃO MARCADA",IF(COUNTA(B465:H465,J465,M465:N465,P465:Q465)&lt;12,"PREENCHER OBRIGATÓRIOS",IF(OR(J465&lt;0,M465&lt;0),"VALOR INVÁLIDO","OK")))</f>
        <v/>
      </c>
    </row>
    <row r="466">
      <c r="A466" s="11" t="inlineStr">
        <is>
          <t>NÃO</t>
        </is>
      </c>
      <c r="B466" s="11" t="n"/>
      <c r="C466" s="11" t="n"/>
      <c r="D466" s="11" t="n"/>
      <c r="E466" s="12">
        <f>IFERROR(VLOOKUP(D466,PRODUTOS!$A:$J,2,FALSE),"")</f>
        <v/>
      </c>
      <c r="F466" s="11" t="n"/>
      <c r="G466" s="13" t="n"/>
      <c r="H466" s="11" t="inlineStr">
        <is>
          <t>DISPONÍVEL</t>
        </is>
      </c>
      <c r="I466" s="14" t="n"/>
      <c r="J466" s="15" t="n"/>
      <c r="K466" s="14">
        <f>IF(J466="","",J466-I466)</f>
        <v/>
      </c>
      <c r="L466" s="12">
        <f>IFERROR(VLOOKUP(D466,PRODUTOS!$A:$J,4,FALSE),"")</f>
        <v/>
      </c>
      <c r="M466" s="16" t="n"/>
      <c r="N466" s="11" t="n"/>
      <c r="O466" s="11" t="n"/>
      <c r="P466" s="13" t="n"/>
      <c r="Q466" s="11" t="n"/>
      <c r="R466" s="11" t="n"/>
      <c r="S466" s="11" t="n"/>
      <c r="T466" s="12">
        <f>IF(A466&lt;&gt;"SIM","NÃO MARCADA",IF(COUNTA(B466:H466,J466,M466:N466,P466:Q466)&lt;12,"PREENCHER OBRIGATÓRIOS",IF(OR(J466&lt;0,M466&lt;0),"VALOR INVÁLIDO","OK")))</f>
        <v/>
      </c>
    </row>
    <row r="467">
      <c r="A467" s="11" t="inlineStr">
        <is>
          <t>NÃO</t>
        </is>
      </c>
      <c r="B467" s="11" t="n"/>
      <c r="C467" s="11" t="n"/>
      <c r="D467" s="11" t="n"/>
      <c r="E467" s="12">
        <f>IFERROR(VLOOKUP(D467,PRODUTOS!$A:$J,2,FALSE),"")</f>
        <v/>
      </c>
      <c r="F467" s="11" t="n"/>
      <c r="G467" s="13" t="n"/>
      <c r="H467" s="11" t="inlineStr">
        <is>
          <t>DISPONÍVEL</t>
        </is>
      </c>
      <c r="I467" s="14" t="n"/>
      <c r="J467" s="15" t="n"/>
      <c r="K467" s="14">
        <f>IF(J467="","",J467-I467)</f>
        <v/>
      </c>
      <c r="L467" s="12">
        <f>IFERROR(VLOOKUP(D467,PRODUTOS!$A:$J,4,FALSE),"")</f>
        <v/>
      </c>
      <c r="M467" s="16" t="n"/>
      <c r="N467" s="11" t="n"/>
      <c r="O467" s="11" t="n"/>
      <c r="P467" s="13" t="n"/>
      <c r="Q467" s="11" t="n"/>
      <c r="R467" s="11" t="n"/>
      <c r="S467" s="11" t="n"/>
      <c r="T467" s="12">
        <f>IF(A467&lt;&gt;"SIM","NÃO MARCADA",IF(COUNTA(B467:H467,J467,M467:N467,P467:Q467)&lt;12,"PREENCHER OBRIGATÓRIOS",IF(OR(J467&lt;0,M467&lt;0),"VALOR INVÁLIDO","OK")))</f>
        <v/>
      </c>
    </row>
    <row r="468">
      <c r="A468" s="11" t="inlineStr">
        <is>
          <t>NÃO</t>
        </is>
      </c>
      <c r="B468" s="11" t="n"/>
      <c r="C468" s="11" t="n"/>
      <c r="D468" s="11" t="n"/>
      <c r="E468" s="12">
        <f>IFERROR(VLOOKUP(D468,PRODUTOS!$A:$J,2,FALSE),"")</f>
        <v/>
      </c>
      <c r="F468" s="11" t="n"/>
      <c r="G468" s="13" t="n"/>
      <c r="H468" s="11" t="inlineStr">
        <is>
          <t>DISPONÍVEL</t>
        </is>
      </c>
      <c r="I468" s="14" t="n"/>
      <c r="J468" s="15" t="n"/>
      <c r="K468" s="14">
        <f>IF(J468="","",J468-I468)</f>
        <v/>
      </c>
      <c r="L468" s="12">
        <f>IFERROR(VLOOKUP(D468,PRODUTOS!$A:$J,4,FALSE),"")</f>
        <v/>
      </c>
      <c r="M468" s="16" t="n"/>
      <c r="N468" s="11" t="n"/>
      <c r="O468" s="11" t="n"/>
      <c r="P468" s="13" t="n"/>
      <c r="Q468" s="11" t="n"/>
      <c r="R468" s="11" t="n"/>
      <c r="S468" s="11" t="n"/>
      <c r="T468" s="12">
        <f>IF(A468&lt;&gt;"SIM","NÃO MARCADA",IF(COUNTA(B468:H468,J468,M468:N468,P468:Q468)&lt;12,"PREENCHER OBRIGATÓRIOS",IF(OR(J468&lt;0,M468&lt;0),"VALOR INVÁLIDO","OK")))</f>
        <v/>
      </c>
    </row>
    <row r="469">
      <c r="A469" s="11" t="inlineStr">
        <is>
          <t>NÃO</t>
        </is>
      </c>
      <c r="B469" s="11" t="n"/>
      <c r="C469" s="11" t="n"/>
      <c r="D469" s="11" t="n"/>
      <c r="E469" s="12">
        <f>IFERROR(VLOOKUP(D469,PRODUTOS!$A:$J,2,FALSE),"")</f>
        <v/>
      </c>
      <c r="F469" s="11" t="n"/>
      <c r="G469" s="13" t="n"/>
      <c r="H469" s="11" t="inlineStr">
        <is>
          <t>DISPONÍVEL</t>
        </is>
      </c>
      <c r="I469" s="14" t="n"/>
      <c r="J469" s="15" t="n"/>
      <c r="K469" s="14">
        <f>IF(J469="","",J469-I469)</f>
        <v/>
      </c>
      <c r="L469" s="12">
        <f>IFERROR(VLOOKUP(D469,PRODUTOS!$A:$J,4,FALSE),"")</f>
        <v/>
      </c>
      <c r="M469" s="16" t="n"/>
      <c r="N469" s="11" t="n"/>
      <c r="O469" s="11" t="n"/>
      <c r="P469" s="13" t="n"/>
      <c r="Q469" s="11" t="n"/>
      <c r="R469" s="11" t="n"/>
      <c r="S469" s="11" t="n"/>
      <c r="T469" s="12">
        <f>IF(A469&lt;&gt;"SIM","NÃO MARCADA",IF(COUNTA(B469:H469,J469,M469:N469,P469:Q469)&lt;12,"PREENCHER OBRIGATÓRIOS",IF(OR(J469&lt;0,M469&lt;0),"VALOR INVÁLIDO","OK")))</f>
        <v/>
      </c>
    </row>
    <row r="470">
      <c r="A470" s="11" t="inlineStr">
        <is>
          <t>NÃO</t>
        </is>
      </c>
      <c r="B470" s="11" t="n"/>
      <c r="C470" s="11" t="n"/>
      <c r="D470" s="11" t="n"/>
      <c r="E470" s="12">
        <f>IFERROR(VLOOKUP(D470,PRODUTOS!$A:$J,2,FALSE),"")</f>
        <v/>
      </c>
      <c r="F470" s="11" t="n"/>
      <c r="G470" s="13" t="n"/>
      <c r="H470" s="11" t="inlineStr">
        <is>
          <t>DISPONÍVEL</t>
        </is>
      </c>
      <c r="I470" s="14" t="n"/>
      <c r="J470" s="15" t="n"/>
      <c r="K470" s="14">
        <f>IF(J470="","",J470-I470)</f>
        <v/>
      </c>
      <c r="L470" s="12">
        <f>IFERROR(VLOOKUP(D470,PRODUTOS!$A:$J,4,FALSE),"")</f>
        <v/>
      </c>
      <c r="M470" s="16" t="n"/>
      <c r="N470" s="11" t="n"/>
      <c r="O470" s="11" t="n"/>
      <c r="P470" s="13" t="n"/>
      <c r="Q470" s="11" t="n"/>
      <c r="R470" s="11" t="n"/>
      <c r="S470" s="11" t="n"/>
      <c r="T470" s="12">
        <f>IF(A470&lt;&gt;"SIM","NÃO MARCADA",IF(COUNTA(B470:H470,J470,M470:N470,P470:Q470)&lt;12,"PREENCHER OBRIGATÓRIOS",IF(OR(J470&lt;0,M470&lt;0),"VALOR INVÁLIDO","OK")))</f>
        <v/>
      </c>
    </row>
    <row r="471">
      <c r="A471" s="11" t="inlineStr">
        <is>
          <t>NÃO</t>
        </is>
      </c>
      <c r="B471" s="11" t="n"/>
      <c r="C471" s="11" t="n"/>
      <c r="D471" s="11" t="n"/>
      <c r="E471" s="12">
        <f>IFERROR(VLOOKUP(D471,PRODUTOS!$A:$J,2,FALSE),"")</f>
        <v/>
      </c>
      <c r="F471" s="11" t="n"/>
      <c r="G471" s="13" t="n"/>
      <c r="H471" s="11" t="inlineStr">
        <is>
          <t>DISPONÍVEL</t>
        </is>
      </c>
      <c r="I471" s="14" t="n"/>
      <c r="J471" s="15" t="n"/>
      <c r="K471" s="14">
        <f>IF(J471="","",J471-I471)</f>
        <v/>
      </c>
      <c r="L471" s="12">
        <f>IFERROR(VLOOKUP(D471,PRODUTOS!$A:$J,4,FALSE),"")</f>
        <v/>
      </c>
      <c r="M471" s="16" t="n"/>
      <c r="N471" s="11" t="n"/>
      <c r="O471" s="11" t="n"/>
      <c r="P471" s="13" t="n"/>
      <c r="Q471" s="11" t="n"/>
      <c r="R471" s="11" t="n"/>
      <c r="S471" s="11" t="n"/>
      <c r="T471" s="12">
        <f>IF(A471&lt;&gt;"SIM","NÃO MARCADA",IF(COUNTA(B471:H471,J471,M471:N471,P471:Q471)&lt;12,"PREENCHER OBRIGATÓRIOS",IF(OR(J471&lt;0,M471&lt;0),"VALOR INVÁLIDO","OK")))</f>
        <v/>
      </c>
    </row>
    <row r="472">
      <c r="A472" s="11" t="inlineStr">
        <is>
          <t>NÃO</t>
        </is>
      </c>
      <c r="B472" s="11" t="n"/>
      <c r="C472" s="11" t="n"/>
      <c r="D472" s="11" t="n"/>
      <c r="E472" s="12">
        <f>IFERROR(VLOOKUP(D472,PRODUTOS!$A:$J,2,FALSE),"")</f>
        <v/>
      </c>
      <c r="F472" s="11" t="n"/>
      <c r="G472" s="13" t="n"/>
      <c r="H472" s="11" t="inlineStr">
        <is>
          <t>DISPONÍVEL</t>
        </is>
      </c>
      <c r="I472" s="14" t="n"/>
      <c r="J472" s="15" t="n"/>
      <c r="K472" s="14">
        <f>IF(J472="","",J472-I472)</f>
        <v/>
      </c>
      <c r="L472" s="12">
        <f>IFERROR(VLOOKUP(D472,PRODUTOS!$A:$J,4,FALSE),"")</f>
        <v/>
      </c>
      <c r="M472" s="16" t="n"/>
      <c r="N472" s="11" t="n"/>
      <c r="O472" s="11" t="n"/>
      <c r="P472" s="13" t="n"/>
      <c r="Q472" s="11" t="n"/>
      <c r="R472" s="11" t="n"/>
      <c r="S472" s="11" t="n"/>
      <c r="T472" s="12">
        <f>IF(A472&lt;&gt;"SIM","NÃO MARCADA",IF(COUNTA(B472:H472,J472,M472:N472,P472:Q472)&lt;12,"PREENCHER OBRIGATÓRIOS",IF(OR(J472&lt;0,M472&lt;0),"VALOR INVÁLIDO","OK")))</f>
        <v/>
      </c>
    </row>
    <row r="473">
      <c r="A473" s="11" t="inlineStr">
        <is>
          <t>NÃO</t>
        </is>
      </c>
      <c r="B473" s="11" t="n"/>
      <c r="C473" s="11" t="n"/>
      <c r="D473" s="11" t="n"/>
      <c r="E473" s="12">
        <f>IFERROR(VLOOKUP(D473,PRODUTOS!$A:$J,2,FALSE),"")</f>
        <v/>
      </c>
      <c r="F473" s="11" t="n"/>
      <c r="G473" s="13" t="n"/>
      <c r="H473" s="11" t="inlineStr">
        <is>
          <t>DISPONÍVEL</t>
        </is>
      </c>
      <c r="I473" s="14" t="n"/>
      <c r="J473" s="15" t="n"/>
      <c r="K473" s="14">
        <f>IF(J473="","",J473-I473)</f>
        <v/>
      </c>
      <c r="L473" s="12">
        <f>IFERROR(VLOOKUP(D473,PRODUTOS!$A:$J,4,FALSE),"")</f>
        <v/>
      </c>
      <c r="M473" s="16" t="n"/>
      <c r="N473" s="11" t="n"/>
      <c r="O473" s="11" t="n"/>
      <c r="P473" s="13" t="n"/>
      <c r="Q473" s="11" t="n"/>
      <c r="R473" s="11" t="n"/>
      <c r="S473" s="11" t="n"/>
      <c r="T473" s="12">
        <f>IF(A473&lt;&gt;"SIM","NÃO MARCADA",IF(COUNTA(B473:H473,J473,M473:N473,P473:Q473)&lt;12,"PREENCHER OBRIGATÓRIOS",IF(OR(J473&lt;0,M473&lt;0),"VALOR INVÁLIDO","OK")))</f>
        <v/>
      </c>
    </row>
    <row r="474">
      <c r="A474" s="11" t="inlineStr">
        <is>
          <t>NÃO</t>
        </is>
      </c>
      <c r="B474" s="11" t="n"/>
      <c r="C474" s="11" t="n"/>
      <c r="D474" s="11" t="n"/>
      <c r="E474" s="12">
        <f>IFERROR(VLOOKUP(D474,PRODUTOS!$A:$J,2,FALSE),"")</f>
        <v/>
      </c>
      <c r="F474" s="11" t="n"/>
      <c r="G474" s="13" t="n"/>
      <c r="H474" s="11" t="inlineStr">
        <is>
          <t>DISPONÍVEL</t>
        </is>
      </c>
      <c r="I474" s="14" t="n"/>
      <c r="J474" s="15" t="n"/>
      <c r="K474" s="14">
        <f>IF(J474="","",J474-I474)</f>
        <v/>
      </c>
      <c r="L474" s="12">
        <f>IFERROR(VLOOKUP(D474,PRODUTOS!$A:$J,4,FALSE),"")</f>
        <v/>
      </c>
      <c r="M474" s="16" t="n"/>
      <c r="N474" s="11" t="n"/>
      <c r="O474" s="11" t="n"/>
      <c r="P474" s="13" t="n"/>
      <c r="Q474" s="11" t="n"/>
      <c r="R474" s="11" t="n"/>
      <c r="S474" s="11" t="n"/>
      <c r="T474" s="12">
        <f>IF(A474&lt;&gt;"SIM","NÃO MARCADA",IF(COUNTA(B474:H474,J474,M474:N474,P474:Q474)&lt;12,"PREENCHER OBRIGATÓRIOS",IF(OR(J474&lt;0,M474&lt;0),"VALOR INVÁLIDO","OK")))</f>
        <v/>
      </c>
    </row>
    <row r="475">
      <c r="A475" s="11" t="inlineStr">
        <is>
          <t>NÃO</t>
        </is>
      </c>
      <c r="B475" s="11" t="n"/>
      <c r="C475" s="11" t="n"/>
      <c r="D475" s="11" t="n"/>
      <c r="E475" s="12">
        <f>IFERROR(VLOOKUP(D475,PRODUTOS!$A:$J,2,FALSE),"")</f>
        <v/>
      </c>
      <c r="F475" s="11" t="n"/>
      <c r="G475" s="13" t="n"/>
      <c r="H475" s="11" t="inlineStr">
        <is>
          <t>DISPONÍVEL</t>
        </is>
      </c>
      <c r="I475" s="14" t="n"/>
      <c r="J475" s="15" t="n"/>
      <c r="K475" s="14">
        <f>IF(J475="","",J475-I475)</f>
        <v/>
      </c>
      <c r="L475" s="12">
        <f>IFERROR(VLOOKUP(D475,PRODUTOS!$A:$J,4,FALSE),"")</f>
        <v/>
      </c>
      <c r="M475" s="16" t="n"/>
      <c r="N475" s="11" t="n"/>
      <c r="O475" s="11" t="n"/>
      <c r="P475" s="13" t="n"/>
      <c r="Q475" s="11" t="n"/>
      <c r="R475" s="11" t="n"/>
      <c r="S475" s="11" t="n"/>
      <c r="T475" s="12">
        <f>IF(A475&lt;&gt;"SIM","NÃO MARCADA",IF(COUNTA(B475:H475,J475,M475:N475,P475:Q475)&lt;12,"PREENCHER OBRIGATÓRIOS",IF(OR(J475&lt;0,M475&lt;0),"VALOR INVÁLIDO","OK")))</f>
        <v/>
      </c>
    </row>
    <row r="476">
      <c r="A476" s="11" t="inlineStr">
        <is>
          <t>NÃO</t>
        </is>
      </c>
      <c r="B476" s="11" t="n"/>
      <c r="C476" s="11" t="n"/>
      <c r="D476" s="11" t="n"/>
      <c r="E476" s="12">
        <f>IFERROR(VLOOKUP(D476,PRODUTOS!$A:$J,2,FALSE),"")</f>
        <v/>
      </c>
      <c r="F476" s="11" t="n"/>
      <c r="G476" s="13" t="n"/>
      <c r="H476" s="11" t="inlineStr">
        <is>
          <t>DISPONÍVEL</t>
        </is>
      </c>
      <c r="I476" s="14" t="n"/>
      <c r="J476" s="15" t="n"/>
      <c r="K476" s="14">
        <f>IF(J476="","",J476-I476)</f>
        <v/>
      </c>
      <c r="L476" s="12">
        <f>IFERROR(VLOOKUP(D476,PRODUTOS!$A:$J,4,FALSE),"")</f>
        <v/>
      </c>
      <c r="M476" s="16" t="n"/>
      <c r="N476" s="11" t="n"/>
      <c r="O476" s="11" t="n"/>
      <c r="P476" s="13" t="n"/>
      <c r="Q476" s="11" t="n"/>
      <c r="R476" s="11" t="n"/>
      <c r="S476" s="11" t="n"/>
      <c r="T476" s="12">
        <f>IF(A476&lt;&gt;"SIM","NÃO MARCADA",IF(COUNTA(B476:H476,J476,M476:N476,P476:Q476)&lt;12,"PREENCHER OBRIGATÓRIOS",IF(OR(J476&lt;0,M476&lt;0),"VALOR INVÁLIDO","OK")))</f>
        <v/>
      </c>
    </row>
    <row r="477">
      <c r="A477" s="11" t="inlineStr">
        <is>
          <t>NÃO</t>
        </is>
      </c>
      <c r="B477" s="11" t="n"/>
      <c r="C477" s="11" t="n"/>
      <c r="D477" s="11" t="n"/>
      <c r="E477" s="12">
        <f>IFERROR(VLOOKUP(D477,PRODUTOS!$A:$J,2,FALSE),"")</f>
        <v/>
      </c>
      <c r="F477" s="11" t="n"/>
      <c r="G477" s="13" t="n"/>
      <c r="H477" s="11" t="inlineStr">
        <is>
          <t>DISPONÍVEL</t>
        </is>
      </c>
      <c r="I477" s="14" t="n"/>
      <c r="J477" s="15" t="n"/>
      <c r="K477" s="14">
        <f>IF(J477="","",J477-I477)</f>
        <v/>
      </c>
      <c r="L477" s="12">
        <f>IFERROR(VLOOKUP(D477,PRODUTOS!$A:$J,4,FALSE),"")</f>
        <v/>
      </c>
      <c r="M477" s="16" t="n"/>
      <c r="N477" s="11" t="n"/>
      <c r="O477" s="11" t="n"/>
      <c r="P477" s="13" t="n"/>
      <c r="Q477" s="11" t="n"/>
      <c r="R477" s="11" t="n"/>
      <c r="S477" s="11" t="n"/>
      <c r="T477" s="12">
        <f>IF(A477&lt;&gt;"SIM","NÃO MARCADA",IF(COUNTA(B477:H477,J477,M477:N477,P477:Q477)&lt;12,"PREENCHER OBRIGATÓRIOS",IF(OR(J477&lt;0,M477&lt;0),"VALOR INVÁLIDO","OK")))</f>
        <v/>
      </c>
    </row>
    <row r="478">
      <c r="A478" s="11" t="inlineStr">
        <is>
          <t>NÃO</t>
        </is>
      </c>
      <c r="B478" s="11" t="n"/>
      <c r="C478" s="11" t="n"/>
      <c r="D478" s="11" t="n"/>
      <c r="E478" s="12">
        <f>IFERROR(VLOOKUP(D478,PRODUTOS!$A:$J,2,FALSE),"")</f>
        <v/>
      </c>
      <c r="F478" s="11" t="n"/>
      <c r="G478" s="13" t="n"/>
      <c r="H478" s="11" t="inlineStr">
        <is>
          <t>DISPONÍVEL</t>
        </is>
      </c>
      <c r="I478" s="14" t="n"/>
      <c r="J478" s="15" t="n"/>
      <c r="K478" s="14">
        <f>IF(J478="","",J478-I478)</f>
        <v/>
      </c>
      <c r="L478" s="12">
        <f>IFERROR(VLOOKUP(D478,PRODUTOS!$A:$J,4,FALSE),"")</f>
        <v/>
      </c>
      <c r="M478" s="16" t="n"/>
      <c r="N478" s="11" t="n"/>
      <c r="O478" s="11" t="n"/>
      <c r="P478" s="13" t="n"/>
      <c r="Q478" s="11" t="n"/>
      <c r="R478" s="11" t="n"/>
      <c r="S478" s="11" t="n"/>
      <c r="T478" s="12">
        <f>IF(A478&lt;&gt;"SIM","NÃO MARCADA",IF(COUNTA(B478:H478,J478,M478:N478,P478:Q478)&lt;12,"PREENCHER OBRIGATÓRIOS",IF(OR(J478&lt;0,M478&lt;0),"VALOR INVÁLIDO","OK")))</f>
        <v/>
      </c>
    </row>
    <row r="479">
      <c r="A479" s="11" t="inlineStr">
        <is>
          <t>NÃO</t>
        </is>
      </c>
      <c r="B479" s="11" t="n"/>
      <c r="C479" s="11" t="n"/>
      <c r="D479" s="11" t="n"/>
      <c r="E479" s="12">
        <f>IFERROR(VLOOKUP(D479,PRODUTOS!$A:$J,2,FALSE),"")</f>
        <v/>
      </c>
      <c r="F479" s="11" t="n"/>
      <c r="G479" s="13" t="n"/>
      <c r="H479" s="11" t="inlineStr">
        <is>
          <t>DISPONÍVEL</t>
        </is>
      </c>
      <c r="I479" s="14" t="n"/>
      <c r="J479" s="15" t="n"/>
      <c r="K479" s="14">
        <f>IF(J479="","",J479-I479)</f>
        <v/>
      </c>
      <c r="L479" s="12">
        <f>IFERROR(VLOOKUP(D479,PRODUTOS!$A:$J,4,FALSE),"")</f>
        <v/>
      </c>
      <c r="M479" s="16" t="n"/>
      <c r="N479" s="11" t="n"/>
      <c r="O479" s="11" t="n"/>
      <c r="P479" s="13" t="n"/>
      <c r="Q479" s="11" t="n"/>
      <c r="R479" s="11" t="n"/>
      <c r="S479" s="11" t="n"/>
      <c r="T479" s="12">
        <f>IF(A479&lt;&gt;"SIM","NÃO MARCADA",IF(COUNTA(B479:H479,J479,M479:N479,P479:Q479)&lt;12,"PREENCHER OBRIGATÓRIOS",IF(OR(J479&lt;0,M479&lt;0),"VALOR INVÁLIDO","OK")))</f>
        <v/>
      </c>
    </row>
    <row r="480">
      <c r="A480" s="11" t="inlineStr">
        <is>
          <t>NÃO</t>
        </is>
      </c>
      <c r="B480" s="11" t="n"/>
      <c r="C480" s="11" t="n"/>
      <c r="D480" s="11" t="n"/>
      <c r="E480" s="12">
        <f>IFERROR(VLOOKUP(D480,PRODUTOS!$A:$J,2,FALSE),"")</f>
        <v/>
      </c>
      <c r="F480" s="11" t="n"/>
      <c r="G480" s="13" t="n"/>
      <c r="H480" s="11" t="inlineStr">
        <is>
          <t>DISPONÍVEL</t>
        </is>
      </c>
      <c r="I480" s="14" t="n"/>
      <c r="J480" s="15" t="n"/>
      <c r="K480" s="14">
        <f>IF(J480="","",J480-I480)</f>
        <v/>
      </c>
      <c r="L480" s="12">
        <f>IFERROR(VLOOKUP(D480,PRODUTOS!$A:$J,4,FALSE),"")</f>
        <v/>
      </c>
      <c r="M480" s="16" t="n"/>
      <c r="N480" s="11" t="n"/>
      <c r="O480" s="11" t="n"/>
      <c r="P480" s="13" t="n"/>
      <c r="Q480" s="11" t="n"/>
      <c r="R480" s="11" t="n"/>
      <c r="S480" s="11" t="n"/>
      <c r="T480" s="12">
        <f>IF(A480&lt;&gt;"SIM","NÃO MARCADA",IF(COUNTA(B480:H480,J480,M480:N480,P480:Q480)&lt;12,"PREENCHER OBRIGATÓRIOS",IF(OR(J480&lt;0,M480&lt;0),"VALOR INVÁLIDO","OK")))</f>
        <v/>
      </c>
    </row>
    <row r="481">
      <c r="A481" s="11" t="inlineStr">
        <is>
          <t>NÃO</t>
        </is>
      </c>
      <c r="B481" s="11" t="n"/>
      <c r="C481" s="11" t="n"/>
      <c r="D481" s="11" t="n"/>
      <c r="E481" s="12">
        <f>IFERROR(VLOOKUP(D481,PRODUTOS!$A:$J,2,FALSE),"")</f>
        <v/>
      </c>
      <c r="F481" s="11" t="n"/>
      <c r="G481" s="13" t="n"/>
      <c r="H481" s="11" t="inlineStr">
        <is>
          <t>DISPONÍVEL</t>
        </is>
      </c>
      <c r="I481" s="14" t="n"/>
      <c r="J481" s="15" t="n"/>
      <c r="K481" s="14">
        <f>IF(J481="","",J481-I481)</f>
        <v/>
      </c>
      <c r="L481" s="12">
        <f>IFERROR(VLOOKUP(D481,PRODUTOS!$A:$J,4,FALSE),"")</f>
        <v/>
      </c>
      <c r="M481" s="16" t="n"/>
      <c r="N481" s="11" t="n"/>
      <c r="O481" s="11" t="n"/>
      <c r="P481" s="13" t="n"/>
      <c r="Q481" s="11" t="n"/>
      <c r="R481" s="11" t="n"/>
      <c r="S481" s="11" t="n"/>
      <c r="T481" s="12">
        <f>IF(A481&lt;&gt;"SIM","NÃO MARCADA",IF(COUNTA(B481:H481,J481,M481:N481,P481:Q481)&lt;12,"PREENCHER OBRIGATÓRIOS",IF(OR(J481&lt;0,M481&lt;0),"VALOR INVÁLIDO","OK")))</f>
        <v/>
      </c>
    </row>
    <row r="482">
      <c r="A482" s="11" t="inlineStr">
        <is>
          <t>NÃO</t>
        </is>
      </c>
      <c r="B482" s="11" t="n"/>
      <c r="C482" s="11" t="n"/>
      <c r="D482" s="11" t="n"/>
      <c r="E482" s="12">
        <f>IFERROR(VLOOKUP(D482,PRODUTOS!$A:$J,2,FALSE),"")</f>
        <v/>
      </c>
      <c r="F482" s="11" t="n"/>
      <c r="G482" s="13" t="n"/>
      <c r="H482" s="11" t="inlineStr">
        <is>
          <t>DISPONÍVEL</t>
        </is>
      </c>
      <c r="I482" s="14" t="n"/>
      <c r="J482" s="15" t="n"/>
      <c r="K482" s="14">
        <f>IF(J482="","",J482-I482)</f>
        <v/>
      </c>
      <c r="L482" s="12">
        <f>IFERROR(VLOOKUP(D482,PRODUTOS!$A:$J,4,FALSE),"")</f>
        <v/>
      </c>
      <c r="M482" s="16" t="n"/>
      <c r="N482" s="11" t="n"/>
      <c r="O482" s="11" t="n"/>
      <c r="P482" s="13" t="n"/>
      <c r="Q482" s="11" t="n"/>
      <c r="R482" s="11" t="n"/>
      <c r="S482" s="11" t="n"/>
      <c r="T482" s="12">
        <f>IF(A482&lt;&gt;"SIM","NÃO MARCADA",IF(COUNTA(B482:H482,J482,M482:N482,P482:Q482)&lt;12,"PREENCHER OBRIGATÓRIOS",IF(OR(J482&lt;0,M482&lt;0),"VALOR INVÁLIDO","OK")))</f>
        <v/>
      </c>
    </row>
    <row r="483">
      <c r="A483" s="11" t="inlineStr">
        <is>
          <t>NÃO</t>
        </is>
      </c>
      <c r="B483" s="11" t="n"/>
      <c r="C483" s="11" t="n"/>
      <c r="D483" s="11" t="n"/>
      <c r="E483" s="12">
        <f>IFERROR(VLOOKUP(D483,PRODUTOS!$A:$J,2,FALSE),"")</f>
        <v/>
      </c>
      <c r="F483" s="11" t="n"/>
      <c r="G483" s="13" t="n"/>
      <c r="H483" s="11" t="inlineStr">
        <is>
          <t>DISPONÍVEL</t>
        </is>
      </c>
      <c r="I483" s="14" t="n"/>
      <c r="J483" s="15" t="n"/>
      <c r="K483" s="14">
        <f>IF(J483="","",J483-I483)</f>
        <v/>
      </c>
      <c r="L483" s="12">
        <f>IFERROR(VLOOKUP(D483,PRODUTOS!$A:$J,4,FALSE),"")</f>
        <v/>
      </c>
      <c r="M483" s="16" t="n"/>
      <c r="N483" s="11" t="n"/>
      <c r="O483" s="11" t="n"/>
      <c r="P483" s="13" t="n"/>
      <c r="Q483" s="11" t="n"/>
      <c r="R483" s="11" t="n"/>
      <c r="S483" s="11" t="n"/>
      <c r="T483" s="12">
        <f>IF(A483&lt;&gt;"SIM","NÃO MARCADA",IF(COUNTA(B483:H483,J483,M483:N483,P483:Q483)&lt;12,"PREENCHER OBRIGATÓRIOS",IF(OR(J483&lt;0,M483&lt;0),"VALOR INVÁLIDO","OK")))</f>
        <v/>
      </c>
    </row>
    <row r="484">
      <c r="A484" s="11" t="inlineStr">
        <is>
          <t>NÃO</t>
        </is>
      </c>
      <c r="B484" s="11" t="n"/>
      <c r="C484" s="11" t="n"/>
      <c r="D484" s="11" t="n"/>
      <c r="E484" s="12">
        <f>IFERROR(VLOOKUP(D484,PRODUTOS!$A:$J,2,FALSE),"")</f>
        <v/>
      </c>
      <c r="F484" s="11" t="n"/>
      <c r="G484" s="13" t="n"/>
      <c r="H484" s="11" t="inlineStr">
        <is>
          <t>DISPONÍVEL</t>
        </is>
      </c>
      <c r="I484" s="14" t="n"/>
      <c r="J484" s="15" t="n"/>
      <c r="K484" s="14">
        <f>IF(J484="","",J484-I484)</f>
        <v/>
      </c>
      <c r="L484" s="12">
        <f>IFERROR(VLOOKUP(D484,PRODUTOS!$A:$J,4,FALSE),"")</f>
        <v/>
      </c>
      <c r="M484" s="16" t="n"/>
      <c r="N484" s="11" t="n"/>
      <c r="O484" s="11" t="n"/>
      <c r="P484" s="13" t="n"/>
      <c r="Q484" s="11" t="n"/>
      <c r="R484" s="11" t="n"/>
      <c r="S484" s="11" t="n"/>
      <c r="T484" s="12">
        <f>IF(A484&lt;&gt;"SIM","NÃO MARCADA",IF(COUNTA(B484:H484,J484,M484:N484,P484:Q484)&lt;12,"PREENCHER OBRIGATÓRIOS",IF(OR(J484&lt;0,M484&lt;0),"VALOR INVÁLIDO","OK")))</f>
        <v/>
      </c>
    </row>
    <row r="485">
      <c r="A485" s="11" t="inlineStr">
        <is>
          <t>NÃO</t>
        </is>
      </c>
      <c r="B485" s="11" t="n"/>
      <c r="C485" s="11" t="n"/>
      <c r="D485" s="11" t="n"/>
      <c r="E485" s="12">
        <f>IFERROR(VLOOKUP(D485,PRODUTOS!$A:$J,2,FALSE),"")</f>
        <v/>
      </c>
      <c r="F485" s="11" t="n"/>
      <c r="G485" s="13" t="n"/>
      <c r="H485" s="11" t="inlineStr">
        <is>
          <t>DISPONÍVEL</t>
        </is>
      </c>
      <c r="I485" s="14" t="n"/>
      <c r="J485" s="15" t="n"/>
      <c r="K485" s="14">
        <f>IF(J485="","",J485-I485)</f>
        <v/>
      </c>
      <c r="L485" s="12">
        <f>IFERROR(VLOOKUP(D485,PRODUTOS!$A:$J,4,FALSE),"")</f>
        <v/>
      </c>
      <c r="M485" s="16" t="n"/>
      <c r="N485" s="11" t="n"/>
      <c r="O485" s="11" t="n"/>
      <c r="P485" s="13" t="n"/>
      <c r="Q485" s="11" t="n"/>
      <c r="R485" s="11" t="n"/>
      <c r="S485" s="11" t="n"/>
      <c r="T485" s="12">
        <f>IF(A485&lt;&gt;"SIM","NÃO MARCADA",IF(COUNTA(B485:H485,J485,M485:N485,P485:Q485)&lt;12,"PREENCHER OBRIGATÓRIOS",IF(OR(J485&lt;0,M485&lt;0),"VALOR INVÁLIDO","OK")))</f>
        <v/>
      </c>
    </row>
    <row r="486">
      <c r="A486" s="11" t="inlineStr">
        <is>
          <t>NÃO</t>
        </is>
      </c>
      <c r="B486" s="11" t="n"/>
      <c r="C486" s="11" t="n"/>
      <c r="D486" s="11" t="n"/>
      <c r="E486" s="12">
        <f>IFERROR(VLOOKUP(D486,PRODUTOS!$A:$J,2,FALSE),"")</f>
        <v/>
      </c>
      <c r="F486" s="11" t="n"/>
      <c r="G486" s="13" t="n"/>
      <c r="H486" s="11" t="inlineStr">
        <is>
          <t>DISPONÍVEL</t>
        </is>
      </c>
      <c r="I486" s="14" t="n"/>
      <c r="J486" s="15" t="n"/>
      <c r="K486" s="14">
        <f>IF(J486="","",J486-I486)</f>
        <v/>
      </c>
      <c r="L486" s="12">
        <f>IFERROR(VLOOKUP(D486,PRODUTOS!$A:$J,4,FALSE),"")</f>
        <v/>
      </c>
      <c r="M486" s="16" t="n"/>
      <c r="N486" s="11" t="n"/>
      <c r="O486" s="11" t="n"/>
      <c r="P486" s="13" t="n"/>
      <c r="Q486" s="11" t="n"/>
      <c r="R486" s="11" t="n"/>
      <c r="S486" s="11" t="n"/>
      <c r="T486" s="12">
        <f>IF(A486&lt;&gt;"SIM","NÃO MARCADA",IF(COUNTA(B486:H486,J486,M486:N486,P486:Q486)&lt;12,"PREENCHER OBRIGATÓRIOS",IF(OR(J486&lt;0,M486&lt;0),"VALOR INVÁLIDO","OK")))</f>
        <v/>
      </c>
    </row>
    <row r="487">
      <c r="A487" s="11" t="inlineStr">
        <is>
          <t>NÃO</t>
        </is>
      </c>
      <c r="B487" s="11" t="n"/>
      <c r="C487" s="11" t="n"/>
      <c r="D487" s="11" t="n"/>
      <c r="E487" s="12">
        <f>IFERROR(VLOOKUP(D487,PRODUTOS!$A:$J,2,FALSE),"")</f>
        <v/>
      </c>
      <c r="F487" s="11" t="n"/>
      <c r="G487" s="13" t="n"/>
      <c r="H487" s="11" t="inlineStr">
        <is>
          <t>DISPONÍVEL</t>
        </is>
      </c>
      <c r="I487" s="14" t="n"/>
      <c r="J487" s="15" t="n"/>
      <c r="K487" s="14">
        <f>IF(J487="","",J487-I487)</f>
        <v/>
      </c>
      <c r="L487" s="12">
        <f>IFERROR(VLOOKUP(D487,PRODUTOS!$A:$J,4,FALSE),"")</f>
        <v/>
      </c>
      <c r="M487" s="16" t="n"/>
      <c r="N487" s="11" t="n"/>
      <c r="O487" s="11" t="n"/>
      <c r="P487" s="13" t="n"/>
      <c r="Q487" s="11" t="n"/>
      <c r="R487" s="11" t="n"/>
      <c r="S487" s="11" t="n"/>
      <c r="T487" s="12">
        <f>IF(A487&lt;&gt;"SIM","NÃO MARCADA",IF(COUNTA(B487:H487,J487,M487:N487,P487:Q487)&lt;12,"PREENCHER OBRIGATÓRIOS",IF(OR(J487&lt;0,M487&lt;0),"VALOR INVÁLIDO","OK")))</f>
        <v/>
      </c>
    </row>
    <row r="488">
      <c r="A488" s="11" t="inlineStr">
        <is>
          <t>NÃO</t>
        </is>
      </c>
      <c r="B488" s="11" t="n"/>
      <c r="C488" s="11" t="n"/>
      <c r="D488" s="11" t="n"/>
      <c r="E488" s="12">
        <f>IFERROR(VLOOKUP(D488,PRODUTOS!$A:$J,2,FALSE),"")</f>
        <v/>
      </c>
      <c r="F488" s="11" t="n"/>
      <c r="G488" s="13" t="n"/>
      <c r="H488" s="11" t="inlineStr">
        <is>
          <t>DISPONÍVEL</t>
        </is>
      </c>
      <c r="I488" s="14" t="n"/>
      <c r="J488" s="15" t="n"/>
      <c r="K488" s="14">
        <f>IF(J488="","",J488-I488)</f>
        <v/>
      </c>
      <c r="L488" s="12">
        <f>IFERROR(VLOOKUP(D488,PRODUTOS!$A:$J,4,FALSE),"")</f>
        <v/>
      </c>
      <c r="M488" s="16" t="n"/>
      <c r="N488" s="11" t="n"/>
      <c r="O488" s="11" t="n"/>
      <c r="P488" s="13" t="n"/>
      <c r="Q488" s="11" t="n"/>
      <c r="R488" s="11" t="n"/>
      <c r="S488" s="11" t="n"/>
      <c r="T488" s="12">
        <f>IF(A488&lt;&gt;"SIM","NÃO MARCADA",IF(COUNTA(B488:H488,J488,M488:N488,P488:Q488)&lt;12,"PREENCHER OBRIGATÓRIOS",IF(OR(J488&lt;0,M488&lt;0),"VALOR INVÁLIDO","OK")))</f>
        <v/>
      </c>
    </row>
    <row r="489">
      <c r="A489" s="11" t="inlineStr">
        <is>
          <t>NÃO</t>
        </is>
      </c>
      <c r="B489" s="11" t="n"/>
      <c r="C489" s="11" t="n"/>
      <c r="D489" s="11" t="n"/>
      <c r="E489" s="12">
        <f>IFERROR(VLOOKUP(D489,PRODUTOS!$A:$J,2,FALSE),"")</f>
        <v/>
      </c>
      <c r="F489" s="11" t="n"/>
      <c r="G489" s="13" t="n"/>
      <c r="H489" s="11" t="inlineStr">
        <is>
          <t>DISPONÍVEL</t>
        </is>
      </c>
      <c r="I489" s="14" t="n"/>
      <c r="J489" s="15" t="n"/>
      <c r="K489" s="14">
        <f>IF(J489="","",J489-I489)</f>
        <v/>
      </c>
      <c r="L489" s="12">
        <f>IFERROR(VLOOKUP(D489,PRODUTOS!$A:$J,4,FALSE),"")</f>
        <v/>
      </c>
      <c r="M489" s="16" t="n"/>
      <c r="N489" s="11" t="n"/>
      <c r="O489" s="11" t="n"/>
      <c r="P489" s="13" t="n"/>
      <c r="Q489" s="11" t="n"/>
      <c r="R489" s="11" t="n"/>
      <c r="S489" s="11" t="n"/>
      <c r="T489" s="12">
        <f>IF(A489&lt;&gt;"SIM","NÃO MARCADA",IF(COUNTA(B489:H489,J489,M489:N489,P489:Q489)&lt;12,"PREENCHER OBRIGATÓRIOS",IF(OR(J489&lt;0,M489&lt;0),"VALOR INVÁLIDO","OK")))</f>
        <v/>
      </c>
    </row>
    <row r="490">
      <c r="A490" s="11" t="inlineStr">
        <is>
          <t>NÃO</t>
        </is>
      </c>
      <c r="B490" s="11" t="n"/>
      <c r="C490" s="11" t="n"/>
      <c r="D490" s="11" t="n"/>
      <c r="E490" s="12">
        <f>IFERROR(VLOOKUP(D490,PRODUTOS!$A:$J,2,FALSE),"")</f>
        <v/>
      </c>
      <c r="F490" s="11" t="n"/>
      <c r="G490" s="13" t="n"/>
      <c r="H490" s="11" t="inlineStr">
        <is>
          <t>DISPONÍVEL</t>
        </is>
      </c>
      <c r="I490" s="14" t="n"/>
      <c r="J490" s="15" t="n"/>
      <c r="K490" s="14">
        <f>IF(J490="","",J490-I490)</f>
        <v/>
      </c>
      <c r="L490" s="12">
        <f>IFERROR(VLOOKUP(D490,PRODUTOS!$A:$J,4,FALSE),"")</f>
        <v/>
      </c>
      <c r="M490" s="16" t="n"/>
      <c r="N490" s="11" t="n"/>
      <c r="O490" s="11" t="n"/>
      <c r="P490" s="13" t="n"/>
      <c r="Q490" s="11" t="n"/>
      <c r="R490" s="11" t="n"/>
      <c r="S490" s="11" t="n"/>
      <c r="T490" s="12">
        <f>IF(A490&lt;&gt;"SIM","NÃO MARCADA",IF(COUNTA(B490:H490,J490,M490:N490,P490:Q490)&lt;12,"PREENCHER OBRIGATÓRIOS",IF(OR(J490&lt;0,M490&lt;0),"VALOR INVÁLIDO","OK")))</f>
        <v/>
      </c>
    </row>
    <row r="491">
      <c r="A491" s="11" t="inlineStr">
        <is>
          <t>NÃO</t>
        </is>
      </c>
      <c r="B491" s="11" t="n"/>
      <c r="C491" s="11" t="n"/>
      <c r="D491" s="11" t="n"/>
      <c r="E491" s="12">
        <f>IFERROR(VLOOKUP(D491,PRODUTOS!$A:$J,2,FALSE),"")</f>
        <v/>
      </c>
      <c r="F491" s="11" t="n"/>
      <c r="G491" s="13" t="n"/>
      <c r="H491" s="11" t="inlineStr">
        <is>
          <t>DISPONÍVEL</t>
        </is>
      </c>
      <c r="I491" s="14" t="n"/>
      <c r="J491" s="15" t="n"/>
      <c r="K491" s="14">
        <f>IF(J491="","",J491-I491)</f>
        <v/>
      </c>
      <c r="L491" s="12">
        <f>IFERROR(VLOOKUP(D491,PRODUTOS!$A:$J,4,FALSE),"")</f>
        <v/>
      </c>
      <c r="M491" s="16" t="n"/>
      <c r="N491" s="11" t="n"/>
      <c r="O491" s="11" t="n"/>
      <c r="P491" s="13" t="n"/>
      <c r="Q491" s="11" t="n"/>
      <c r="R491" s="11" t="n"/>
      <c r="S491" s="11" t="n"/>
      <c r="T491" s="12">
        <f>IF(A491&lt;&gt;"SIM","NÃO MARCADA",IF(COUNTA(B491:H491,J491,M491:N491,P491:Q491)&lt;12,"PREENCHER OBRIGATÓRIOS",IF(OR(J491&lt;0,M491&lt;0),"VALOR INVÁLIDO","OK")))</f>
        <v/>
      </c>
    </row>
    <row r="492">
      <c r="A492" s="11" t="inlineStr">
        <is>
          <t>NÃO</t>
        </is>
      </c>
      <c r="B492" s="11" t="n"/>
      <c r="C492" s="11" t="n"/>
      <c r="D492" s="11" t="n"/>
      <c r="E492" s="12">
        <f>IFERROR(VLOOKUP(D492,PRODUTOS!$A:$J,2,FALSE),"")</f>
        <v/>
      </c>
      <c r="F492" s="11" t="n"/>
      <c r="G492" s="13" t="n"/>
      <c r="H492" s="11" t="inlineStr">
        <is>
          <t>DISPONÍVEL</t>
        </is>
      </c>
      <c r="I492" s="14" t="n"/>
      <c r="J492" s="15" t="n"/>
      <c r="K492" s="14">
        <f>IF(J492="","",J492-I492)</f>
        <v/>
      </c>
      <c r="L492" s="12">
        <f>IFERROR(VLOOKUP(D492,PRODUTOS!$A:$J,4,FALSE),"")</f>
        <v/>
      </c>
      <c r="M492" s="16" t="n"/>
      <c r="N492" s="11" t="n"/>
      <c r="O492" s="11" t="n"/>
      <c r="P492" s="13" t="n"/>
      <c r="Q492" s="11" t="n"/>
      <c r="R492" s="11" t="n"/>
      <c r="S492" s="11" t="n"/>
      <c r="T492" s="12">
        <f>IF(A492&lt;&gt;"SIM","NÃO MARCADA",IF(COUNTA(B492:H492,J492,M492:N492,P492:Q492)&lt;12,"PREENCHER OBRIGATÓRIOS",IF(OR(J492&lt;0,M492&lt;0),"VALOR INVÁLIDO","OK")))</f>
        <v/>
      </c>
    </row>
    <row r="493">
      <c r="A493" s="11" t="inlineStr">
        <is>
          <t>NÃO</t>
        </is>
      </c>
      <c r="B493" s="11" t="n"/>
      <c r="C493" s="11" t="n"/>
      <c r="D493" s="11" t="n"/>
      <c r="E493" s="12">
        <f>IFERROR(VLOOKUP(D493,PRODUTOS!$A:$J,2,FALSE),"")</f>
        <v/>
      </c>
      <c r="F493" s="11" t="n"/>
      <c r="G493" s="13" t="n"/>
      <c r="H493" s="11" t="inlineStr">
        <is>
          <t>DISPONÍVEL</t>
        </is>
      </c>
      <c r="I493" s="14" t="n"/>
      <c r="J493" s="15" t="n"/>
      <c r="K493" s="14">
        <f>IF(J493="","",J493-I493)</f>
        <v/>
      </c>
      <c r="L493" s="12">
        <f>IFERROR(VLOOKUP(D493,PRODUTOS!$A:$J,4,FALSE),"")</f>
        <v/>
      </c>
      <c r="M493" s="16" t="n"/>
      <c r="N493" s="11" t="n"/>
      <c r="O493" s="11" t="n"/>
      <c r="P493" s="13" t="n"/>
      <c r="Q493" s="11" t="n"/>
      <c r="R493" s="11" t="n"/>
      <c r="S493" s="11" t="n"/>
      <c r="T493" s="12">
        <f>IF(A493&lt;&gt;"SIM","NÃO MARCADA",IF(COUNTA(B493:H493,J493,M493:N493,P493:Q493)&lt;12,"PREENCHER OBRIGATÓRIOS",IF(OR(J493&lt;0,M493&lt;0),"VALOR INVÁLIDO","OK")))</f>
        <v/>
      </c>
    </row>
    <row r="494">
      <c r="A494" s="11" t="inlineStr">
        <is>
          <t>NÃO</t>
        </is>
      </c>
      <c r="B494" s="11" t="n"/>
      <c r="C494" s="11" t="n"/>
      <c r="D494" s="11" t="n"/>
      <c r="E494" s="12">
        <f>IFERROR(VLOOKUP(D494,PRODUTOS!$A:$J,2,FALSE),"")</f>
        <v/>
      </c>
      <c r="F494" s="11" t="n"/>
      <c r="G494" s="13" t="n"/>
      <c r="H494" s="11" t="inlineStr">
        <is>
          <t>DISPONÍVEL</t>
        </is>
      </c>
      <c r="I494" s="14" t="n"/>
      <c r="J494" s="15" t="n"/>
      <c r="K494" s="14">
        <f>IF(J494="","",J494-I494)</f>
        <v/>
      </c>
      <c r="L494" s="12">
        <f>IFERROR(VLOOKUP(D494,PRODUTOS!$A:$J,4,FALSE),"")</f>
        <v/>
      </c>
      <c r="M494" s="16" t="n"/>
      <c r="N494" s="11" t="n"/>
      <c r="O494" s="11" t="n"/>
      <c r="P494" s="13" t="n"/>
      <c r="Q494" s="11" t="n"/>
      <c r="R494" s="11" t="n"/>
      <c r="S494" s="11" t="n"/>
      <c r="T494" s="12">
        <f>IF(A494&lt;&gt;"SIM","NÃO MARCADA",IF(COUNTA(B494:H494,J494,M494:N494,P494:Q494)&lt;12,"PREENCHER OBRIGATÓRIOS",IF(OR(J494&lt;0,M494&lt;0),"VALOR INVÁLIDO","OK")))</f>
        <v/>
      </c>
    </row>
    <row r="495">
      <c r="A495" s="11" t="inlineStr">
        <is>
          <t>NÃO</t>
        </is>
      </c>
      <c r="B495" s="11" t="n"/>
      <c r="C495" s="11" t="n"/>
      <c r="D495" s="11" t="n"/>
      <c r="E495" s="12">
        <f>IFERROR(VLOOKUP(D495,PRODUTOS!$A:$J,2,FALSE),"")</f>
        <v/>
      </c>
      <c r="F495" s="11" t="n"/>
      <c r="G495" s="13" t="n"/>
      <c r="H495" s="11" t="inlineStr">
        <is>
          <t>DISPONÍVEL</t>
        </is>
      </c>
      <c r="I495" s="14" t="n"/>
      <c r="J495" s="15" t="n"/>
      <c r="K495" s="14">
        <f>IF(J495="","",J495-I495)</f>
        <v/>
      </c>
      <c r="L495" s="12">
        <f>IFERROR(VLOOKUP(D495,PRODUTOS!$A:$J,4,FALSE),"")</f>
        <v/>
      </c>
      <c r="M495" s="16" t="n"/>
      <c r="N495" s="11" t="n"/>
      <c r="O495" s="11" t="n"/>
      <c r="P495" s="13" t="n"/>
      <c r="Q495" s="11" t="n"/>
      <c r="R495" s="11" t="n"/>
      <c r="S495" s="11" t="n"/>
      <c r="T495" s="12">
        <f>IF(A495&lt;&gt;"SIM","NÃO MARCADA",IF(COUNTA(B495:H495,J495,M495:N495,P495:Q495)&lt;12,"PREENCHER OBRIGATÓRIOS",IF(OR(J495&lt;0,M495&lt;0),"VALOR INVÁLIDO","OK")))</f>
        <v/>
      </c>
    </row>
    <row r="496">
      <c r="A496" s="11" t="inlineStr">
        <is>
          <t>NÃO</t>
        </is>
      </c>
      <c r="B496" s="11" t="n"/>
      <c r="C496" s="11" t="n"/>
      <c r="D496" s="11" t="n"/>
      <c r="E496" s="12">
        <f>IFERROR(VLOOKUP(D496,PRODUTOS!$A:$J,2,FALSE),"")</f>
        <v/>
      </c>
      <c r="F496" s="11" t="n"/>
      <c r="G496" s="13" t="n"/>
      <c r="H496" s="11" t="inlineStr">
        <is>
          <t>DISPONÍVEL</t>
        </is>
      </c>
      <c r="I496" s="14" t="n"/>
      <c r="J496" s="15" t="n"/>
      <c r="K496" s="14">
        <f>IF(J496="","",J496-I496)</f>
        <v/>
      </c>
      <c r="L496" s="12">
        <f>IFERROR(VLOOKUP(D496,PRODUTOS!$A:$J,4,FALSE),"")</f>
        <v/>
      </c>
      <c r="M496" s="16" t="n"/>
      <c r="N496" s="11" t="n"/>
      <c r="O496" s="11" t="n"/>
      <c r="P496" s="13" t="n"/>
      <c r="Q496" s="11" t="n"/>
      <c r="R496" s="11" t="n"/>
      <c r="S496" s="11" t="n"/>
      <c r="T496" s="12">
        <f>IF(A496&lt;&gt;"SIM","NÃO MARCADA",IF(COUNTA(B496:H496,J496,M496:N496,P496:Q496)&lt;12,"PREENCHER OBRIGATÓRIOS",IF(OR(J496&lt;0,M496&lt;0),"VALOR INVÁLIDO","OK")))</f>
        <v/>
      </c>
    </row>
    <row r="497">
      <c r="A497" s="11" t="inlineStr">
        <is>
          <t>NÃO</t>
        </is>
      </c>
      <c r="B497" s="11" t="n"/>
      <c r="C497" s="11" t="n"/>
      <c r="D497" s="11" t="n"/>
      <c r="E497" s="12">
        <f>IFERROR(VLOOKUP(D497,PRODUTOS!$A:$J,2,FALSE),"")</f>
        <v/>
      </c>
      <c r="F497" s="11" t="n"/>
      <c r="G497" s="13" t="n"/>
      <c r="H497" s="11" t="inlineStr">
        <is>
          <t>DISPONÍVEL</t>
        </is>
      </c>
      <c r="I497" s="14" t="n"/>
      <c r="J497" s="15" t="n"/>
      <c r="K497" s="14">
        <f>IF(J497="","",J497-I497)</f>
        <v/>
      </c>
      <c r="L497" s="12">
        <f>IFERROR(VLOOKUP(D497,PRODUTOS!$A:$J,4,FALSE),"")</f>
        <v/>
      </c>
      <c r="M497" s="16" t="n"/>
      <c r="N497" s="11" t="n"/>
      <c r="O497" s="11" t="n"/>
      <c r="P497" s="13" t="n"/>
      <c r="Q497" s="11" t="n"/>
      <c r="R497" s="11" t="n"/>
      <c r="S497" s="11" t="n"/>
      <c r="T497" s="12">
        <f>IF(A497&lt;&gt;"SIM","NÃO MARCADA",IF(COUNTA(B497:H497,J497,M497:N497,P497:Q497)&lt;12,"PREENCHER OBRIGATÓRIOS",IF(OR(J497&lt;0,M497&lt;0),"VALOR INVÁLIDO","OK")))</f>
        <v/>
      </c>
    </row>
    <row r="498">
      <c r="A498" s="11" t="inlineStr">
        <is>
          <t>NÃO</t>
        </is>
      </c>
      <c r="B498" s="11" t="n"/>
      <c r="C498" s="11" t="n"/>
      <c r="D498" s="11" t="n"/>
      <c r="E498" s="12">
        <f>IFERROR(VLOOKUP(D498,PRODUTOS!$A:$J,2,FALSE),"")</f>
        <v/>
      </c>
      <c r="F498" s="11" t="n"/>
      <c r="G498" s="13" t="n"/>
      <c r="H498" s="11" t="inlineStr">
        <is>
          <t>DISPONÍVEL</t>
        </is>
      </c>
      <c r="I498" s="14" t="n"/>
      <c r="J498" s="15" t="n"/>
      <c r="K498" s="14">
        <f>IF(J498="","",J498-I498)</f>
        <v/>
      </c>
      <c r="L498" s="12">
        <f>IFERROR(VLOOKUP(D498,PRODUTOS!$A:$J,4,FALSE),"")</f>
        <v/>
      </c>
      <c r="M498" s="16" t="n"/>
      <c r="N498" s="11" t="n"/>
      <c r="O498" s="11" t="n"/>
      <c r="P498" s="13" t="n"/>
      <c r="Q498" s="11" t="n"/>
      <c r="R498" s="11" t="n"/>
      <c r="S498" s="11" t="n"/>
      <c r="T498" s="12">
        <f>IF(A498&lt;&gt;"SIM","NÃO MARCADA",IF(COUNTA(B498:H498,J498,M498:N498,P498:Q498)&lt;12,"PREENCHER OBRIGATÓRIOS",IF(OR(J498&lt;0,M498&lt;0),"VALOR INVÁLIDO","OK")))</f>
        <v/>
      </c>
    </row>
    <row r="499">
      <c r="A499" s="11" t="inlineStr">
        <is>
          <t>NÃO</t>
        </is>
      </c>
      <c r="B499" s="11" t="n"/>
      <c r="C499" s="11" t="n"/>
      <c r="D499" s="11" t="n"/>
      <c r="E499" s="12">
        <f>IFERROR(VLOOKUP(D499,PRODUTOS!$A:$J,2,FALSE),"")</f>
        <v/>
      </c>
      <c r="F499" s="11" t="n"/>
      <c r="G499" s="13" t="n"/>
      <c r="H499" s="11" t="inlineStr">
        <is>
          <t>DISPONÍVEL</t>
        </is>
      </c>
      <c r="I499" s="14" t="n"/>
      <c r="J499" s="15" t="n"/>
      <c r="K499" s="14">
        <f>IF(J499="","",J499-I499)</f>
        <v/>
      </c>
      <c r="L499" s="12">
        <f>IFERROR(VLOOKUP(D499,PRODUTOS!$A:$J,4,FALSE),"")</f>
        <v/>
      </c>
      <c r="M499" s="16" t="n"/>
      <c r="N499" s="11" t="n"/>
      <c r="O499" s="11" t="n"/>
      <c r="P499" s="13" t="n"/>
      <c r="Q499" s="11" t="n"/>
      <c r="R499" s="11" t="n"/>
      <c r="S499" s="11" t="n"/>
      <c r="T499" s="12">
        <f>IF(A499&lt;&gt;"SIM","NÃO MARCADA",IF(COUNTA(B499:H499,J499,M499:N499,P499:Q499)&lt;12,"PREENCHER OBRIGATÓRIOS",IF(OR(J499&lt;0,M499&lt;0),"VALOR INVÁLIDO","OK")))</f>
        <v/>
      </c>
    </row>
    <row r="500">
      <c r="A500" s="11" t="inlineStr">
        <is>
          <t>NÃO</t>
        </is>
      </c>
      <c r="B500" s="11" t="n"/>
      <c r="C500" s="11" t="n"/>
      <c r="D500" s="11" t="n"/>
      <c r="E500" s="12">
        <f>IFERROR(VLOOKUP(D500,PRODUTOS!$A:$J,2,FALSE),"")</f>
        <v/>
      </c>
      <c r="F500" s="11" t="n"/>
      <c r="G500" s="13" t="n"/>
      <c r="H500" s="11" t="inlineStr">
        <is>
          <t>DISPONÍVEL</t>
        </is>
      </c>
      <c r="I500" s="14" t="n"/>
      <c r="J500" s="15" t="n"/>
      <c r="K500" s="14">
        <f>IF(J500="","",J500-I500)</f>
        <v/>
      </c>
      <c r="L500" s="12">
        <f>IFERROR(VLOOKUP(D500,PRODUTOS!$A:$J,4,FALSE),"")</f>
        <v/>
      </c>
      <c r="M500" s="16" t="n"/>
      <c r="N500" s="11" t="n"/>
      <c r="O500" s="11" t="n"/>
      <c r="P500" s="13" t="n"/>
      <c r="Q500" s="11" t="n"/>
      <c r="R500" s="11" t="n"/>
      <c r="S500" s="11" t="n"/>
      <c r="T500" s="12">
        <f>IF(A500&lt;&gt;"SIM","NÃO MARCADA",IF(COUNTA(B500:H500,J500,M500:N500,P500:Q500)&lt;12,"PREENCHER OBRIGATÓRIOS",IF(OR(J500&lt;0,M500&lt;0),"VALOR INVÁLIDO","OK")))</f>
        <v/>
      </c>
    </row>
  </sheetData>
  <autoFilter ref="A3:T500"/>
  <mergeCells count="2">
    <mergeCell ref="A1:T1"/>
    <mergeCell ref="A2:T2"/>
  </mergeCells>
  <conditionalFormatting sqref="T4:T500">
    <cfRule type="expression" priority="1" dxfId="0">
      <formula>T4="OK"</formula>
    </cfRule>
    <cfRule type="expression" priority="2" dxfId="1">
      <formula>AND(T4&lt;&gt;"OK",T4&lt;&gt;"NÃO MARCADA")</formula>
    </cfRule>
  </conditionalFormatting>
  <dataValidations count="5">
    <dataValidation sqref="A4:A500" showDropDown="0" showInputMessage="1" showErrorMessage="1" allowBlank="1" errorTitle="Valor inválido" error="Selecione um valor da lista." promptTitle="Allik One" prompt="Escolha uma opção padronizada." type="list">
      <formula1>=LISTAS!$D$2:$D$3</formula1>
    </dataValidation>
    <dataValidation sqref="B4:B500" showDropDown="0" showInputMessage="1" showErrorMessage="1" allowBlank="1" errorTitle="Valor inválido" error="Selecione um valor da lista." promptTitle="Allik One" prompt="Escolha uma opção padronizada." type="list">
      <formula1>=LISTAS!$E$2:$E$3</formula1>
    </dataValidation>
    <dataValidation sqref="C4:C500" showDropDown="0" showInputMessage="1" showErrorMessage="1" allowBlank="1" errorTitle="Valor inválido" error="Selecione um valor da lista." promptTitle="Allik One" prompt="Escolha uma opção padronizada." type="list">
      <formula1>=LISTAS!$F$2:$F$10</formula1>
    </dataValidation>
    <dataValidation sqref="D4:D500" showDropDown="0" showInputMessage="1" showErrorMessage="1" allowBlank="1" errorTitle="Valor inválido" error="Selecione um valor da lista." promptTitle="Allik One" prompt="Escolha uma opção padronizada." type="list">
      <formula1>=PRODUTOS!$A$4:$A$500</formula1>
    </dataValidation>
    <dataValidation sqref="H4:H500" showDropDown="0" showInputMessage="1" showErrorMessage="1" allowBlank="1" errorTitle="Valor inválido" error="Selecione um valor da lista." promptTitle="Allik One" prompt="Escolha uma opção padronizada." type="list">
      <formula1>=LISTAS!$C$2:$C$4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34" customWidth="1" min="4" max="4"/>
    <col width="25" customWidth="1" min="5" max="5"/>
    <col width="14" customWidth="1" min="6" max="6"/>
    <col width="50" customWidth="1" min="7" max="7"/>
  </cols>
  <sheetData>
    <row r="1" ht="30" customHeight="1">
      <c r="A1" s="1" t="inlineStr">
        <is>
          <t>CADASTRO DE FORNECEDORES</t>
        </is>
      </c>
    </row>
    <row r="2" ht="32" customHeight="1">
      <c r="A2" s="2" t="inlineStr">
        <is>
          <t>Use o nome oficial e mantenha os dados de contato atualizados. Não inclua credenciais.</t>
        </is>
      </c>
    </row>
    <row r="3" ht="34" customHeight="1">
      <c r="A3" s="5" t="inlineStr">
        <is>
          <t>Fornecedor*</t>
        </is>
      </c>
      <c r="B3" s="5" t="inlineStr">
        <is>
          <t>CNPJ</t>
        </is>
      </c>
      <c r="C3" s="5" t="inlineStr">
        <is>
          <t>Telefone</t>
        </is>
      </c>
      <c r="D3" s="5" t="inlineStr">
        <is>
          <t>E-mail</t>
        </is>
      </c>
      <c r="E3" s="5" t="inlineStr">
        <is>
          <t>Contato</t>
        </is>
      </c>
      <c r="F3" s="5" t="inlineStr">
        <is>
          <t>Ativo?*</t>
        </is>
      </c>
      <c r="G3" s="5" t="inlineStr">
        <is>
          <t>Observações</t>
        </is>
      </c>
    </row>
    <row r="4">
      <c r="A4" t="inlineStr">
        <is>
          <t>Central</t>
        </is>
      </c>
      <c r="F4" t="inlineStr">
        <is>
          <t>SIM</t>
        </is>
      </c>
    </row>
    <row r="5">
      <c r="A5" t="inlineStr">
        <is>
          <t>Central Pharma</t>
        </is>
      </c>
      <c r="F5" t="inlineStr">
        <is>
          <t>SIM</t>
        </is>
      </c>
    </row>
    <row r="6">
      <c r="A6" t="inlineStr">
        <is>
          <t>Essentia Pharma</t>
        </is>
      </c>
      <c r="C6" t="inlineStr">
        <is>
          <t>+55 48 8802-9876</t>
        </is>
      </c>
      <c r="F6" t="inlineStr">
        <is>
          <t>SIM</t>
        </is>
      </c>
    </row>
    <row r="7">
      <c r="A7" t="inlineStr">
        <is>
          <t>Farmácia</t>
        </is>
      </c>
      <c r="F7" t="inlineStr">
        <is>
          <t>SIM</t>
        </is>
      </c>
    </row>
    <row r="8">
      <c r="A8" t="inlineStr">
        <is>
          <t>Stin Pharma</t>
        </is>
      </c>
      <c r="C8" t="inlineStr">
        <is>
          <t>+55 11 2078-1800</t>
        </is>
      </c>
      <c r="F8" t="inlineStr">
        <is>
          <t>SIM</t>
        </is>
      </c>
    </row>
  </sheetData>
  <autoFilter ref="A3:G500"/>
  <mergeCells count="2">
    <mergeCell ref="A2:G2"/>
    <mergeCell ref="A1:G1"/>
  </mergeCells>
  <dataValidations count="1">
    <dataValidation sqref="F4:F500" showDropDown="0" showInputMessage="1" showErrorMessage="1" allowBlank="1" errorTitle="Valor inválido" error="Selecione um valor da lista." promptTitle="Allik One" prompt="Escolha uma opção padronizada." type="list">
      <formula1>=LISTAS!$D$2:$D$3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7" t="inlineStr">
        <is>
          <t>Unidades de medida</t>
        </is>
      </c>
      <c r="B1" s="17" t="inlineStr">
        <is>
          <t>Rotas</t>
        </is>
      </c>
      <c r="C1" s="17" t="inlineStr">
        <is>
          <t>Status do lote</t>
        </is>
      </c>
      <c r="D1" s="17" t="inlineStr">
        <is>
          <t>Sim/Não</t>
        </is>
      </c>
      <c r="E1" s="17" t="inlineStr">
        <is>
          <t>Unidades</t>
        </is>
      </c>
      <c r="F1" s="17" t="inlineStr">
        <is>
          <t>Locais</t>
        </is>
      </c>
    </row>
    <row r="2">
      <c r="A2" t="inlineStr">
        <is>
          <t>Caixa</t>
        </is>
      </c>
      <c r="B2" t="inlineStr">
        <is>
          <t>IM</t>
        </is>
      </c>
      <c r="C2" t="inlineStr">
        <is>
          <t>DISPONÍVEL</t>
        </is>
      </c>
      <c r="D2" t="inlineStr">
        <is>
          <t>SIM</t>
        </is>
      </c>
      <c r="E2" t="inlineStr">
        <is>
          <t>Fortaleza</t>
        </is>
      </c>
      <c r="F2" t="inlineStr">
        <is>
          <t>Estoque Central</t>
        </is>
      </c>
    </row>
    <row r="3">
      <c r="A3" t="inlineStr">
        <is>
          <t>Kit</t>
        </is>
      </c>
      <c r="B3" t="inlineStr">
        <is>
          <t>EV</t>
        </is>
      </c>
      <c r="C3" t="inlineStr">
        <is>
          <t>QUARENTENA</t>
        </is>
      </c>
      <c r="D3" t="inlineStr">
        <is>
          <t>NÃO</t>
        </is>
      </c>
      <c r="E3" t="inlineStr">
        <is>
          <t>Juazeiro do Norte</t>
        </is>
      </c>
      <c r="F3" t="inlineStr">
        <is>
          <t>Sala de Procedimentos</t>
        </is>
      </c>
    </row>
    <row r="4">
      <c r="A4" t="inlineStr">
        <is>
          <t>Frasco</t>
        </is>
      </c>
      <c r="B4" t="inlineStr">
        <is>
          <t>EV/IM</t>
        </is>
      </c>
      <c r="C4" t="inlineStr">
        <is>
          <t>BLOQUEADO</t>
        </is>
      </c>
      <c r="F4" t="inlineStr">
        <is>
          <t>Almoxarifado</t>
        </is>
      </c>
    </row>
    <row r="5">
      <c r="A5" t="inlineStr">
        <is>
          <t>Ampola</t>
        </is>
      </c>
      <c r="B5" t="inlineStr">
        <is>
          <t>SC</t>
        </is>
      </c>
    </row>
    <row r="6">
      <c r="A6" t="inlineStr">
        <is>
          <t>Unidade</t>
        </is>
      </c>
      <c r="B6" t="inlineStr">
        <is>
          <t>Outra</t>
        </is>
      </c>
    </row>
    <row r="7">
      <c r="A7" t="inlineStr">
        <is>
          <t>Seringa</t>
        </is>
      </c>
    </row>
    <row r="8">
      <c r="A8" t="inlineStr">
        <is>
          <t>Apresentação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2026-10-05T11:40:40Z</dcterms:created>
  <dcterms:modified xmlns:dcterms="http://purl.org/dc/terms/" xmlns:xsi="http://www.w3.org/2001/XMLSchema-instance" xsi:type="dcterms:W3CDTF">2026-10-05T11:40:40Z</dcterms:modified>
</cp:coreProperties>
</file>